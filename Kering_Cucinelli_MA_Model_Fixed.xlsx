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laviodesalvo/Desktop/"/>
    </mc:Choice>
  </mc:AlternateContent>
  <xr:revisionPtr revIDLastSave="0" documentId="8_{D03A104C-5C4A-F240-9F04-A48880B07751}" xr6:coauthVersionLast="47" xr6:coauthVersionMax="47" xr10:uidLastSave="{00000000-0000-0000-0000-000000000000}"/>
  <bookViews>
    <workbookView xWindow="0" yWindow="720" windowWidth="29400" windowHeight="18400" tabRatio="500" firstSheet="1" activeTab="10" xr2:uid="{00000000-000D-0000-FFFF-FFFF00000000}"/>
  </bookViews>
  <sheets>
    <sheet name="Deal Overview" sheetId="1" r:id="rId1"/>
    <sheet name="Cucinelli Financials" sheetId="2" r:id="rId2"/>
    <sheet name="Projections" sheetId="3" r:id="rId3"/>
    <sheet name="DCF Valuation" sheetId="4" r:id="rId4"/>
    <sheet name="Trading Comps" sheetId="5" r:id="rId5"/>
    <sheet name="Precedent Transactions" sheetId="6" r:id="rId6"/>
    <sheet name="Sources &amp; Uses" sheetId="7" r:id="rId7"/>
    <sheet name="Synergy Analysis" sheetId="8" r:id="rId8"/>
    <sheet name="Accretion - Dilution" sheetId="9" r:id="rId9"/>
    <sheet name="LBO Analysis" sheetId="10" r:id="rId10"/>
    <sheet name="Valuation Summary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11" l="1"/>
  <c r="C36" i="11"/>
  <c r="C16" i="11"/>
  <c r="D13" i="11"/>
  <c r="C54" i="10"/>
  <c r="C28" i="9"/>
  <c r="C26" i="9"/>
  <c r="F25" i="9"/>
  <c r="E25" i="9"/>
  <c r="D25" i="9"/>
  <c r="D26" i="8"/>
  <c r="F25" i="8"/>
  <c r="C25" i="8"/>
  <c r="C18" i="8"/>
  <c r="C26" i="8" s="1"/>
  <c r="C11" i="8"/>
  <c r="E25" i="8" s="1"/>
  <c r="C20" i="7"/>
  <c r="C10" i="7"/>
  <c r="D6" i="7" s="1"/>
  <c r="G8" i="7"/>
  <c r="G7" i="7"/>
  <c r="G6" i="7"/>
  <c r="H12" i="6"/>
  <c r="G12" i="6"/>
  <c r="F12" i="6"/>
  <c r="E15" i="6" s="1"/>
  <c r="H11" i="6"/>
  <c r="G11" i="6"/>
  <c r="F11" i="6"/>
  <c r="C18" i="5"/>
  <c r="I13" i="5"/>
  <c r="H13" i="5"/>
  <c r="C20" i="5" s="1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J14" i="5" s="1"/>
  <c r="I7" i="5"/>
  <c r="H7" i="5"/>
  <c r="J6" i="5"/>
  <c r="I6" i="5"/>
  <c r="H6" i="5"/>
  <c r="D44" i="4"/>
  <c r="C44" i="4"/>
  <c r="C14" i="4"/>
  <c r="F19" i="4" s="1"/>
  <c r="C13" i="4"/>
  <c r="C11" i="4"/>
  <c r="C8" i="4"/>
  <c r="G26" i="3"/>
  <c r="F26" i="3"/>
  <c r="E26" i="3"/>
  <c r="D26" i="3"/>
  <c r="C26" i="3"/>
  <c r="G22" i="3"/>
  <c r="F22" i="3"/>
  <c r="E22" i="3"/>
  <c r="D22" i="3"/>
  <c r="C22" i="3"/>
  <c r="G20" i="3"/>
  <c r="F20" i="3"/>
  <c r="E20" i="3"/>
  <c r="D20" i="3"/>
  <c r="C20" i="3"/>
  <c r="G18" i="3"/>
  <c r="F18" i="3"/>
  <c r="E18" i="3"/>
  <c r="D18" i="3"/>
  <c r="C18" i="3"/>
  <c r="C17" i="3"/>
  <c r="C37" i="3" s="1"/>
  <c r="D46" i="10" s="1"/>
  <c r="H49" i="2"/>
  <c r="G49" i="2"/>
  <c r="F49" i="2"/>
  <c r="E49" i="2"/>
  <c r="D49" i="2"/>
  <c r="C49" i="2"/>
  <c r="H42" i="2"/>
  <c r="G42" i="2"/>
  <c r="F42" i="2"/>
  <c r="E42" i="2"/>
  <c r="D42" i="2"/>
  <c r="C42" i="2"/>
  <c r="H35" i="2"/>
  <c r="G35" i="2"/>
  <c r="F35" i="2"/>
  <c r="E35" i="2"/>
  <c r="D35" i="2"/>
  <c r="C35" i="2"/>
  <c r="H28" i="2"/>
  <c r="G28" i="2"/>
  <c r="F28" i="2"/>
  <c r="E28" i="2"/>
  <c r="D28" i="2"/>
  <c r="C28" i="2"/>
  <c r="H26" i="2"/>
  <c r="G26" i="2"/>
  <c r="F26" i="2"/>
  <c r="E26" i="2"/>
  <c r="D26" i="2"/>
  <c r="C26" i="2"/>
  <c r="C12" i="2"/>
  <c r="C15" i="2" s="1"/>
  <c r="C16" i="2" s="1"/>
  <c r="H9" i="2"/>
  <c r="H10" i="2" s="1"/>
  <c r="G9" i="2"/>
  <c r="G12" i="2" s="1"/>
  <c r="G15" i="2" s="1"/>
  <c r="F9" i="2"/>
  <c r="F12" i="2" s="1"/>
  <c r="F13" i="2" s="1"/>
  <c r="E9" i="2"/>
  <c r="E10" i="2" s="1"/>
  <c r="D9" i="2"/>
  <c r="D12" i="2" s="1"/>
  <c r="C9" i="2"/>
  <c r="C10" i="2" s="1"/>
  <c r="C31" i="1"/>
  <c r="D30" i="1" s="1"/>
  <c r="C14" i="1"/>
  <c r="C5" i="9" s="1"/>
  <c r="C12" i="1"/>
  <c r="F10" i="2" l="1"/>
  <c r="D13" i="2"/>
  <c r="D15" i="2"/>
  <c r="D18" i="2" s="1"/>
  <c r="D10" i="2"/>
  <c r="E12" i="2"/>
  <c r="H12" i="2"/>
  <c r="C7" i="10" s="1"/>
  <c r="C8" i="10" s="1"/>
  <c r="C13" i="10" s="1"/>
  <c r="C47" i="2"/>
  <c r="C18" i="2"/>
  <c r="C19" i="2" s="1"/>
  <c r="C13" i="2"/>
  <c r="C23" i="3"/>
  <c r="D38" i="10" s="1"/>
  <c r="D45" i="10" s="1"/>
  <c r="C21" i="3"/>
  <c r="D37" i="10" s="1"/>
  <c r="G18" i="2"/>
  <c r="G16" i="2"/>
  <c r="D19" i="2"/>
  <c r="D20" i="2" s="1"/>
  <c r="D29" i="1"/>
  <c r="D31" i="1" s="1"/>
  <c r="G13" i="2"/>
  <c r="E19" i="4"/>
  <c r="D47" i="2"/>
  <c r="C36" i="3"/>
  <c r="C33" i="8"/>
  <c r="C35" i="8" s="1"/>
  <c r="G19" i="4"/>
  <c r="C17" i="11"/>
  <c r="G13" i="11"/>
  <c r="J13" i="5"/>
  <c r="G10" i="2"/>
  <c r="H14" i="5"/>
  <c r="C19" i="5" s="1"/>
  <c r="C7" i="9"/>
  <c r="C9" i="9" s="1"/>
  <c r="C11" i="9" s="1"/>
  <c r="C6" i="9"/>
  <c r="C14" i="9" s="1"/>
  <c r="C17" i="9" s="1"/>
  <c r="F15" i="2"/>
  <c r="F27" i="8"/>
  <c r="F28" i="8" s="1"/>
  <c r="F30" i="8" s="1"/>
  <c r="C19" i="4"/>
  <c r="I14" i="5"/>
  <c r="C27" i="8"/>
  <c r="C28" i="8" s="1"/>
  <c r="F47" i="2"/>
  <c r="G47" i="2"/>
  <c r="C15" i="1"/>
  <c r="C23" i="5" s="1"/>
  <c r="C9" i="10"/>
  <c r="C38" i="3"/>
  <c r="D47" i="10" s="1"/>
  <c r="C19" i="3"/>
  <c r="D17" i="3"/>
  <c r="D19" i="4"/>
  <c r="D9" i="7"/>
  <c r="G9" i="7"/>
  <c r="E26" i="8"/>
  <c r="E27" i="8" s="1"/>
  <c r="E28" i="8" s="1"/>
  <c r="D7" i="7"/>
  <c r="C20" i="8"/>
  <c r="F26" i="8"/>
  <c r="D25" i="8"/>
  <c r="D27" i="8" s="1"/>
  <c r="D28" i="8" s="1"/>
  <c r="D5" i="7"/>
  <c r="D8" i="7"/>
  <c r="D41" i="10" l="1"/>
  <c r="E41" i="10"/>
  <c r="C24" i="3"/>
  <c r="C33" i="3" s="1"/>
  <c r="F41" i="10"/>
  <c r="H47" i="2"/>
  <c r="C10" i="10"/>
  <c r="C14" i="10" s="1"/>
  <c r="C58" i="10" s="1"/>
  <c r="D16" i="2"/>
  <c r="H15" i="2"/>
  <c r="G41" i="10"/>
  <c r="H13" i="2"/>
  <c r="H41" i="10"/>
  <c r="C61" i="10"/>
  <c r="E11" i="11" s="1"/>
  <c r="E13" i="2"/>
  <c r="E15" i="2"/>
  <c r="C20" i="2"/>
  <c r="C21" i="2" s="1"/>
  <c r="C21" i="7"/>
  <c r="C23" i="11" s="1"/>
  <c r="D18" i="5"/>
  <c r="D20" i="5" s="1"/>
  <c r="E16" i="6"/>
  <c r="E47" i="2"/>
  <c r="D39" i="10"/>
  <c r="E18" i="6"/>
  <c r="D23" i="5"/>
  <c r="E30" i="8"/>
  <c r="F23" i="9"/>
  <c r="D21" i="2"/>
  <c r="D48" i="2"/>
  <c r="D10" i="11"/>
  <c r="C10" i="11"/>
  <c r="C40" i="11" s="1"/>
  <c r="F24" i="9"/>
  <c r="E24" i="9"/>
  <c r="D24" i="9"/>
  <c r="F27" i="9"/>
  <c r="E27" i="9"/>
  <c r="D27" i="9"/>
  <c r="E23" i="9"/>
  <c r="D30" i="8"/>
  <c r="E17" i="3"/>
  <c r="D19" i="3"/>
  <c r="D37" i="3"/>
  <c r="E46" i="10" s="1"/>
  <c r="D23" i="3"/>
  <c r="D21" i="3"/>
  <c r="D38" i="3"/>
  <c r="E47" i="10" s="1"/>
  <c r="C16" i="1"/>
  <c r="H18" i="2"/>
  <c r="H16" i="2"/>
  <c r="C29" i="10"/>
  <c r="C30" i="10"/>
  <c r="F18" i="2"/>
  <c r="F16" i="2"/>
  <c r="C42" i="4"/>
  <c r="D42" i="4"/>
  <c r="C22" i="5"/>
  <c r="E19" i="6"/>
  <c r="E10" i="11" s="1"/>
  <c r="G10" i="7"/>
  <c r="H9" i="7" s="1"/>
  <c r="D23" i="9"/>
  <c r="C30" i="8"/>
  <c r="C34" i="8"/>
  <c r="C36" i="8" s="1"/>
  <c r="C37" i="8" s="1"/>
  <c r="C22" i="11" s="1"/>
  <c r="G19" i="2"/>
  <c r="G20" i="2" s="1"/>
  <c r="C27" i="3" l="1"/>
  <c r="C62" i="10"/>
  <c r="C25" i="3"/>
  <c r="D19" i="5"/>
  <c r="D22" i="5" s="1"/>
  <c r="E9" i="11" s="1"/>
  <c r="E16" i="2"/>
  <c r="E18" i="2"/>
  <c r="C48" i="2"/>
  <c r="G21" i="2"/>
  <c r="G48" i="2"/>
  <c r="C28" i="3"/>
  <c r="C29" i="3" s="1"/>
  <c r="D22" i="9" s="1"/>
  <c r="E37" i="3"/>
  <c r="F46" i="10" s="1"/>
  <c r="E23" i="3"/>
  <c r="E38" i="3"/>
  <c r="F47" i="10" s="1"/>
  <c r="E21" i="3"/>
  <c r="E19" i="3"/>
  <c r="F17" i="3"/>
  <c r="H19" i="2"/>
  <c r="H20" i="2"/>
  <c r="E30" i="10"/>
  <c r="D30" i="10"/>
  <c r="H30" i="10"/>
  <c r="G30" i="10"/>
  <c r="F30" i="10"/>
  <c r="F19" i="2"/>
  <c r="F20" i="2" s="1"/>
  <c r="H5" i="7"/>
  <c r="C12" i="7"/>
  <c r="H7" i="7"/>
  <c r="H6" i="7"/>
  <c r="H8" i="7"/>
  <c r="C18" i="1"/>
  <c r="C19" i="11" s="1"/>
  <c r="C17" i="1"/>
  <c r="C18" i="11" s="1"/>
  <c r="D40" i="11"/>
  <c r="C31" i="10"/>
  <c r="C33" i="10" s="1"/>
  <c r="D32" i="10"/>
  <c r="D40" i="10" s="1"/>
  <c r="D42" i="10" s="1"/>
  <c r="D29" i="10"/>
  <c r="D48" i="10" s="1"/>
  <c r="D11" i="11"/>
  <c r="C11" i="11"/>
  <c r="E37" i="10"/>
  <c r="D24" i="3"/>
  <c r="C34" i="3"/>
  <c r="C35" i="3" s="1"/>
  <c r="C39" i="3" s="1"/>
  <c r="D36" i="3"/>
  <c r="E38" i="10"/>
  <c r="E45" i="10" s="1"/>
  <c r="C9" i="11" l="1"/>
  <c r="C39" i="11" s="1"/>
  <c r="D9" i="11"/>
  <c r="E19" i="2"/>
  <c r="E20" i="2"/>
  <c r="E39" i="10"/>
  <c r="D39" i="11"/>
  <c r="C18" i="4"/>
  <c r="C20" i="4" s="1"/>
  <c r="D26" i="9"/>
  <c r="D28" i="9" s="1"/>
  <c r="D29" i="9" s="1"/>
  <c r="D30" i="9" s="1"/>
  <c r="C20" i="11" s="1"/>
  <c r="C33" i="9"/>
  <c r="F37" i="10"/>
  <c r="E24" i="3"/>
  <c r="E36" i="3"/>
  <c r="F38" i="10"/>
  <c r="F45" i="10" s="1"/>
  <c r="H48" i="2"/>
  <c r="E18" i="5"/>
  <c r="H21" i="2"/>
  <c r="D43" i="10"/>
  <c r="D44" i="10" s="1"/>
  <c r="D49" i="10" s="1"/>
  <c r="D50" i="10" s="1"/>
  <c r="D31" i="10"/>
  <c r="D33" i="10" s="1"/>
  <c r="E32" i="10"/>
  <c r="E40" i="10" s="1"/>
  <c r="E29" i="10"/>
  <c r="E48" i="10" s="1"/>
  <c r="D33" i="3"/>
  <c r="D25" i="3"/>
  <c r="D27" i="3"/>
  <c r="F48" i="2"/>
  <c r="F21" i="2"/>
  <c r="F23" i="3"/>
  <c r="F37" i="3"/>
  <c r="G46" i="10" s="1"/>
  <c r="F38" i="3"/>
  <c r="G47" i="10" s="1"/>
  <c r="F21" i="3"/>
  <c r="F19" i="3"/>
  <c r="G17" i="3"/>
  <c r="E42" i="10" l="1"/>
  <c r="E48" i="2"/>
  <c r="E21" i="2"/>
  <c r="F39" i="10"/>
  <c r="E43" i="10"/>
  <c r="E44" i="10"/>
  <c r="E49" i="10" s="1"/>
  <c r="E50" i="10" s="1"/>
  <c r="E25" i="3"/>
  <c r="E33" i="3"/>
  <c r="E27" i="3"/>
  <c r="G23" i="3"/>
  <c r="G37" i="3"/>
  <c r="H46" i="10" s="1"/>
  <c r="G21" i="3"/>
  <c r="G38" i="3"/>
  <c r="H47" i="10" s="1"/>
  <c r="G19" i="3"/>
  <c r="D34" i="3"/>
  <c r="D35" i="3" s="1"/>
  <c r="D39" i="3" s="1"/>
  <c r="E31" i="10"/>
  <c r="E33" i="10" s="1"/>
  <c r="F32" i="10"/>
  <c r="F40" i="10" s="1"/>
  <c r="F29" i="10"/>
  <c r="F48" i="10" s="1"/>
  <c r="D28" i="3"/>
  <c r="D29" i="3" s="1"/>
  <c r="E22" i="9" s="1"/>
  <c r="E26" i="9" s="1"/>
  <c r="E28" i="9" s="1"/>
  <c r="E29" i="9" s="1"/>
  <c r="E30" i="9" s="1"/>
  <c r="G37" i="10"/>
  <c r="F24" i="3"/>
  <c r="E19" i="5"/>
  <c r="E22" i="5" s="1"/>
  <c r="E20" i="5"/>
  <c r="E23" i="5" s="1"/>
  <c r="G38" i="10"/>
  <c r="G45" i="10" s="1"/>
  <c r="F36" i="3"/>
  <c r="F42" i="10" l="1"/>
  <c r="G39" i="10"/>
  <c r="D18" i="4"/>
  <c r="D20" i="4" s="1"/>
  <c r="E34" i="3"/>
  <c r="E35" i="3" s="1"/>
  <c r="E39" i="3" s="1"/>
  <c r="F43" i="10"/>
  <c r="F44" i="10" s="1"/>
  <c r="F49" i="10" s="1"/>
  <c r="F50" i="10" s="1"/>
  <c r="H37" i="10"/>
  <c r="G24" i="3"/>
  <c r="C33" i="4"/>
  <c r="C34" i="4" s="1"/>
  <c r="F31" i="10"/>
  <c r="F33" i="10" s="1"/>
  <c r="G32" i="10"/>
  <c r="G40" i="10" s="1"/>
  <c r="G29" i="10"/>
  <c r="G48" i="10" s="1"/>
  <c r="F33" i="3"/>
  <c r="F27" i="3"/>
  <c r="F25" i="3"/>
  <c r="H38" i="10"/>
  <c r="H45" i="10" s="1"/>
  <c r="G36" i="3"/>
  <c r="E28" i="3"/>
  <c r="E29" i="3" s="1"/>
  <c r="F22" i="9" s="1"/>
  <c r="F26" i="9" s="1"/>
  <c r="F28" i="9" s="1"/>
  <c r="F29" i="9" s="1"/>
  <c r="F30" i="9" s="1"/>
  <c r="C21" i="11" s="1"/>
  <c r="G42" i="10" l="1"/>
  <c r="G43" i="10"/>
  <c r="G44" i="10"/>
  <c r="G49" i="10" s="1"/>
  <c r="G50" i="10" s="1"/>
  <c r="E18" i="4"/>
  <c r="E20" i="4" s="1"/>
  <c r="G31" i="10"/>
  <c r="G33" i="10" s="1"/>
  <c r="H32" i="10"/>
  <c r="H40" i="10" s="1"/>
  <c r="H29" i="10"/>
  <c r="H31" i="10" s="1"/>
  <c r="F34" i="3"/>
  <c r="F35" i="3" s="1"/>
  <c r="F39" i="3" s="1"/>
  <c r="F18" i="4" s="1"/>
  <c r="F20" i="4" s="1"/>
  <c r="G69" i="10"/>
  <c r="D68" i="10"/>
  <c r="F66" i="10"/>
  <c r="F69" i="10"/>
  <c r="C68" i="10"/>
  <c r="E66" i="10"/>
  <c r="E69" i="10"/>
  <c r="G67" i="10"/>
  <c r="D66" i="10"/>
  <c r="G70" i="10"/>
  <c r="D69" i="10"/>
  <c r="F67" i="10"/>
  <c r="C66" i="10"/>
  <c r="F70" i="10"/>
  <c r="C69" i="10"/>
  <c r="E67" i="10"/>
  <c r="E70" i="10"/>
  <c r="G68" i="10"/>
  <c r="D67" i="10"/>
  <c r="C53" i="10"/>
  <c r="C55" i="10" s="1"/>
  <c r="H39" i="10"/>
  <c r="D70" i="10"/>
  <c r="F68" i="10"/>
  <c r="C67" i="10"/>
  <c r="C70" i="10"/>
  <c r="E68" i="10"/>
  <c r="G66" i="10"/>
  <c r="D40" i="4"/>
  <c r="F28" i="3"/>
  <c r="F29" i="3"/>
  <c r="G25" i="3"/>
  <c r="G27" i="3"/>
  <c r="G33" i="3"/>
  <c r="H42" i="10" l="1"/>
  <c r="H43" i="10" s="1"/>
  <c r="H44" i="10" s="1"/>
  <c r="H48" i="10"/>
  <c r="G34" i="3"/>
  <c r="G35" i="3"/>
  <c r="G39" i="3" s="1"/>
  <c r="D64" i="4" s="1"/>
  <c r="G62" i="4"/>
  <c r="C62" i="4"/>
  <c r="C56" i="10"/>
  <c r="C57" i="10" s="1"/>
  <c r="H33" i="10"/>
  <c r="G28" i="3"/>
  <c r="G29" i="3" s="1"/>
  <c r="E56" i="4"/>
  <c r="C55" i="4" l="1"/>
  <c r="D62" i="4"/>
  <c r="H49" i="10"/>
  <c r="H50" i="10" s="1"/>
  <c r="C56" i="4"/>
  <c r="C60" i="10"/>
  <c r="C59" i="10"/>
  <c r="C28" i="4"/>
  <c r="C29" i="4" s="1"/>
  <c r="G18" i="4"/>
  <c r="G20" i="4" s="1"/>
  <c r="C21" i="4" s="1"/>
  <c r="D53" i="4"/>
  <c r="G52" i="4"/>
  <c r="C54" i="4"/>
  <c r="E52" i="4"/>
  <c r="D61" i="4"/>
  <c r="D54" i="4"/>
  <c r="G53" i="4"/>
  <c r="E60" i="4"/>
  <c r="F53" i="4"/>
  <c r="D63" i="4"/>
  <c r="G60" i="4"/>
  <c r="G61" i="4"/>
  <c r="C61" i="4"/>
  <c r="C63" i="4"/>
  <c r="E53" i="4"/>
  <c r="F62" i="4"/>
  <c r="F63" i="4"/>
  <c r="E64" i="4"/>
  <c r="F61" i="4"/>
  <c r="D55" i="4"/>
  <c r="E62" i="4"/>
  <c r="G54" i="4"/>
  <c r="D60" i="4"/>
  <c r="F64" i="4"/>
  <c r="C60" i="4"/>
  <c r="F56" i="4"/>
  <c r="D56" i="4"/>
  <c r="F55" i="4"/>
  <c r="F60" i="4"/>
  <c r="E54" i="4"/>
  <c r="F52" i="4"/>
  <c r="E61" i="4"/>
  <c r="C53" i="4"/>
  <c r="C52" i="4"/>
  <c r="E55" i="4"/>
  <c r="G64" i="4"/>
  <c r="D52" i="4"/>
  <c r="G56" i="4"/>
  <c r="C64" i="4"/>
  <c r="E63" i="4"/>
  <c r="F54" i="4"/>
  <c r="G63" i="4"/>
  <c r="G55" i="4"/>
  <c r="D39" i="4" l="1"/>
  <c r="D41" i="4" s="1"/>
  <c r="D43" i="4" s="1"/>
  <c r="D45" i="4" s="1"/>
  <c r="C39" i="4"/>
  <c r="C35" i="4"/>
  <c r="C30" i="4"/>
  <c r="C40" i="4"/>
  <c r="C41" i="4" l="1"/>
  <c r="C43" i="4" s="1"/>
  <c r="C45" i="4" s="1"/>
  <c r="E8" i="11"/>
  <c r="D8" i="11"/>
  <c r="C8" i="11"/>
  <c r="C38" i="11" s="1"/>
  <c r="D38" i="11" l="1"/>
  <c r="E7" i="11"/>
  <c r="D7" i="11"/>
  <c r="C7" i="11"/>
  <c r="C37" i="11" s="1"/>
  <c r="C47" i="4"/>
  <c r="D37" i="11" l="1"/>
</calcChain>
</file>

<file path=xl/sharedStrings.xml><?xml version="1.0" encoding="utf-8"?>
<sst xmlns="http://schemas.openxmlformats.org/spreadsheetml/2006/main" count="568" uniqueCount="442">
  <si>
    <t>Project Solomeo</t>
  </si>
  <si>
    <t>Kering S.A. — Acquisition of Brunello Cucinelli S.p.A.</t>
  </si>
  <si>
    <t>Confidential Discussion Materials | June 2026</t>
  </si>
  <si>
    <t>Transaction Summary</t>
  </si>
  <si>
    <t>Acquirer</t>
  </si>
  <si>
    <t>Kering S.A.</t>
  </si>
  <si>
    <t>Target</t>
  </si>
  <si>
    <t>Brunello Cucinelli S.p.A.</t>
  </si>
  <si>
    <t>Transaction Type</t>
  </si>
  <si>
    <t>Offer Price per Share</t>
  </si>
  <si>
    <t>Source: Assumption</t>
  </si>
  <si>
    <t>Unaffected Share Price</t>
  </si>
  <si>
    <t>Source: Bloomberg, Jun 2026 (30-day VWAP)</t>
  </si>
  <si>
    <t>Premium to Unaffected</t>
  </si>
  <si>
    <t>Shares Outstanding (M)</t>
  </si>
  <si>
    <t>Source: Cucinelli FY2025 Annual Report, p.112</t>
  </si>
  <si>
    <t>Equity Value (€M)</t>
  </si>
  <si>
    <t>Plus: Net Debt (€M)</t>
  </si>
  <si>
    <t>Source: Cucinelli FY2025 Annual Report, p.89</t>
  </si>
  <si>
    <t>Enterprise Value (€M)</t>
  </si>
  <si>
    <t>Implied EV / LTM EBITDA</t>
  </si>
  <si>
    <t>Implied EV / LTM Revenue</t>
  </si>
  <si>
    <t>Strategic Rationale</t>
  </si>
  <si>
    <t>1. Kering’s overexposure to Gucci (~50% of group revenue) creates concentration risk amid brand fatigue</t>
  </si>
  <si>
    <t>2. Cucinelli is the undisputed leader in quiet luxury, the fastest-growing luxury subsegment</t>
  </si>
  <si>
    <t>3. Cucinelli’s DTC mix shift (50/50 → 33/67 wholesale-to-retail) aligns with Kering’s direct-to-consumer strategy</t>
  </si>
  <si>
    <t>4. Run-rate cost synergies of €80–120M achievable via supply chain consolidation and shared distribution</t>
  </si>
  <si>
    <t>5. Defensive rationale: prevents LVMH or Richemont from acquiring a key competitor in Italian luxury</t>
  </si>
  <si>
    <t>Consideration Mix</t>
  </si>
  <si>
    <t>Component</t>
  </si>
  <si>
    <t>Amount (€M)</t>
  </si>
  <si>
    <t>% of Total</t>
  </si>
  <si>
    <t>Cash</t>
  </si>
  <si>
    <t>Stock (New Kering Shares)</t>
  </si>
  <si>
    <t>Total Consideration</t>
  </si>
  <si>
    <t>Strictly Private &amp; Confidential — For Discussion Purposes Only</t>
  </si>
  <si>
    <t>Brunello Cucinelli S.p.A. — Historical Financials</t>
  </si>
  <si>
    <t>Income Statement (€M)</t>
  </si>
  <si>
    <t>FY2020</t>
  </si>
  <si>
    <t>FY2021</t>
  </si>
  <si>
    <t>FY2022</t>
  </si>
  <si>
    <t>FY2023</t>
  </si>
  <si>
    <t>FY2024</t>
  </si>
  <si>
    <t>FY2025</t>
  </si>
  <si>
    <t>Source</t>
  </si>
  <si>
    <t>Revenue</t>
  </si>
  <si>
    <t>Annual Report, Consolidated P&amp;L</t>
  </si>
  <si>
    <t xml:space="preserve">  YoY Growth %</t>
  </si>
  <si>
    <t>COGS</t>
  </si>
  <si>
    <t>Gross Profit</t>
  </si>
  <si>
    <t>Calculated: Revenue − COGS</t>
  </si>
  <si>
    <t xml:space="preserve">  Gross Margin %</t>
  </si>
  <si>
    <t>SG&amp;A</t>
  </si>
  <si>
    <t>FY2025 SG&amp;A +29% YoY reflects: (1) 8 new flagship openings incl. NY Madison Ave &amp; Tokyo Ginza; (2) €40M one-time store renovation programme; (3) elevated digital marketing for DTC push. Recurring SG&amp;A growth ~12%, in line with revenue. Source: FY2025 Annual Report, MD&amp;A p.34</t>
  </si>
  <si>
    <t>EBITDA</t>
  </si>
  <si>
    <t>Calculated: Gross Profit − SG&amp;A</t>
  </si>
  <si>
    <t xml:space="preserve">  EBITDA Margin %</t>
  </si>
  <si>
    <t>D&amp;A</t>
  </si>
  <si>
    <t>Annual Report, Note 8</t>
  </si>
  <si>
    <t>EBIT</t>
  </si>
  <si>
    <t>Calculated: EBITDA − D&amp;A</t>
  </si>
  <si>
    <t xml:space="preserve">  EBIT Margin %</t>
  </si>
  <si>
    <t>Interest Expense</t>
  </si>
  <si>
    <t>Annual Report, Note 12</t>
  </si>
  <si>
    <t>EBT</t>
  </si>
  <si>
    <t>Calculated: EBIT − Interest</t>
  </si>
  <si>
    <t>Taxes (26%)</t>
  </si>
  <si>
    <t>Italian corporate rate (IRES + IRAP)</t>
  </si>
  <si>
    <t>Net Income</t>
  </si>
  <si>
    <t xml:space="preserve">  Net Margin %</t>
  </si>
  <si>
    <t>Revenue by Channel (€M)</t>
  </si>
  <si>
    <t>Retail (DTC)</t>
  </si>
  <si>
    <t>Annual Report, Note 5</t>
  </si>
  <si>
    <t xml:space="preserve">  % of Revenue</t>
  </si>
  <si>
    <t>Wholesale</t>
  </si>
  <si>
    <t>Revenue by Geography (€M)</t>
  </si>
  <si>
    <t>Europe</t>
  </si>
  <si>
    <t>Americas</t>
  </si>
  <si>
    <t>Asia &amp; RoW</t>
  </si>
  <si>
    <t>Total Revenue (check)</t>
  </si>
  <si>
    <t>Key Balance Sheet Items (€M)</t>
  </si>
  <si>
    <t>Total Assets</t>
  </si>
  <si>
    <t>Total Debt</t>
  </si>
  <si>
    <t>Cash &amp; Equivalents</t>
  </si>
  <si>
    <t>Net Debt</t>
  </si>
  <si>
    <t>Shareholders' Equity</t>
  </si>
  <si>
    <t>Key Ratios</t>
  </si>
  <si>
    <t>Net Debt / EBITDA</t>
  </si>
  <si>
    <t>ROE (Net Income / Equity)</t>
  </si>
  <si>
    <t>CapEx (est. 7% of Rev)</t>
  </si>
  <si>
    <t>Tax Rate (statutory)</t>
  </si>
  <si>
    <t>Italian IRES (24%) + IRAP (~2% effective contribution; statutory IRAP rate 3.9% applies to a broader base than IRES, yielding ~2% effective blended contribution)</t>
  </si>
  <si>
    <t>Brunello Cucinelli S.p.A. — Projections</t>
  </si>
  <si>
    <t>Key Assumptions</t>
  </si>
  <si>
    <t>Assumption</t>
  </si>
  <si>
    <t>FY2026E</t>
  </si>
  <si>
    <t>FY2027E</t>
  </si>
  <si>
    <t>FY2028E</t>
  </si>
  <si>
    <t>FY2029E</t>
  </si>
  <si>
    <t>FY2030E</t>
  </si>
  <si>
    <t>Rationale</t>
  </si>
  <si>
    <t>Revenue Growth</t>
  </si>
  <si>
    <t>Gradual deceleration from luxury normalisation</t>
  </si>
  <si>
    <t>Gross Margin</t>
  </si>
  <si>
    <t>DTC mix shift drives margin expansion</t>
  </si>
  <si>
    <t>EBITDA Margin</t>
  </si>
  <si>
    <t>Operating leverage on fixed SG&amp;A base</t>
  </si>
  <si>
    <t>D&amp;A % of Revenue</t>
  </si>
  <si>
    <t>Stable asset base, declining as % of revenue</t>
  </si>
  <si>
    <t>CapEx % of Revenue</t>
  </si>
  <si>
    <t>Retail expansion tapering off post-2028</t>
  </si>
  <si>
    <t>Change in NWC % of ΔRev</t>
  </si>
  <si>
    <t>In line with historical avg (4.5–5.5%)</t>
  </si>
  <si>
    <t>Tax Rate</t>
  </si>
  <si>
    <t>Italian statutory rate (IRES 24% + IRAP 3.9%)</t>
  </si>
  <si>
    <t>Interest Expense Assumption (€M)</t>
  </si>
  <si>
    <t>Estimated standalone interest on €45M net debt; grows with minor refinancing</t>
  </si>
  <si>
    <t>Projected Income Statement (€M)</t>
  </si>
  <si>
    <t>Taxes on EBT (26%)</t>
  </si>
  <si>
    <t>Unlevered Free Cash Flow Build (€M)</t>
  </si>
  <si>
    <t>Less: Taxes on EBIT (26%)</t>
  </si>
  <si>
    <t>NOPAT</t>
  </si>
  <si>
    <t>Plus: D&amp;A</t>
  </si>
  <si>
    <t>Less: CapEx</t>
  </si>
  <si>
    <t>Less: Change in NWC</t>
  </si>
  <si>
    <t>Unlevered Free Cash Flow</t>
  </si>
  <si>
    <t>Discounted Cash Flow Valuation</t>
  </si>
  <si>
    <t>WACC Calculation</t>
  </si>
  <si>
    <t>Risk-Free Rate (EUR 10Y Bund)</t>
  </si>
  <si>
    <t>Source: ECB, Jun 2026</t>
  </si>
  <si>
    <t>Equity Risk Premium</t>
  </si>
  <si>
    <t>Source: Damodaran, Jan 2026</t>
  </si>
  <si>
    <t>Levered Beta</t>
  </si>
  <si>
    <t>Source: Bloomberg, 2Y weekly vs. STOXX 600</t>
  </si>
  <si>
    <t>Cost of Equity (Ke)</t>
  </si>
  <si>
    <t>CAPM: Rf + β × ERP</t>
  </si>
  <si>
    <t>Pre-Tax Cost of Debt (Kd)</t>
  </si>
  <si>
    <t>Source: Cucinelli bond yield, Jun 2026</t>
  </si>
  <si>
    <t>Italian statutory (IRES 24% + IRAP ~2%)</t>
  </si>
  <si>
    <t>After-Tax Cost of Debt</t>
  </si>
  <si>
    <t>Debt / Total Capital</t>
  </si>
  <si>
    <t>Source: Cucinelli FY2025 B/S</t>
  </si>
  <si>
    <t>Note: Model uses book-value D/Capital = 3.4%. Market-value weights: D/(D+MktEq) = €95M/(€95M+€8,500M) = 1.1%. Delta to WACC = ~3bps (immaterial). Recommend updating to market weights for defensibility in technical screen.</t>
  </si>
  <si>
    <t>Equity / Total Capital</t>
  </si>
  <si>
    <t>WACC</t>
  </si>
  <si>
    <t>DCF Valuation (€M)</t>
  </si>
  <si>
    <t>Unlevered FCF</t>
  </si>
  <si>
    <t>Discount Factor</t>
  </si>
  <si>
    <t>Mid-year convention (MS standard): cash flows assumed at mid-year; TV at end of Year 5</t>
  </si>
  <si>
    <t>PV of FCF</t>
  </si>
  <si>
    <t>Sum of PV of FCFs</t>
  </si>
  <si>
    <t>Terminal Value</t>
  </si>
  <si>
    <t>Terminal Growth Rate (g)</t>
  </si>
  <si>
    <t>Eurozone long-run nominal GDP growth</t>
  </si>
  <si>
    <t>Exit EV/EBITDA Multiple</t>
  </si>
  <si>
    <t>In line with luxury sector 5Y avg</t>
  </si>
  <si>
    <t>Method 1: Perpetuity Growth</t>
  </si>
  <si>
    <t xml:space="preserve">  TV = FCF₀ × (1+g) / (WACC – g)</t>
  </si>
  <si>
    <t xml:space="preserve">  PV of Terminal Value</t>
  </si>
  <si>
    <t xml:space="preserve">  TV as % of Total EV</t>
  </si>
  <si>
    <t>Method 2: Exit Multiple</t>
  </si>
  <si>
    <t xml:space="preserve">  TV = EBITDA₀ × Multiple</t>
  </si>
  <si>
    <t>Enterprise Value Bridge to Equity Value</t>
  </si>
  <si>
    <t>Perpetuity Growth</t>
  </si>
  <si>
    <t>Exit Multiple</t>
  </si>
  <si>
    <t>PV of FCFs (FY2026–2030)</t>
  </si>
  <si>
    <t>PV of Terminal Value</t>
  </si>
  <si>
    <t>Enterprise Value</t>
  </si>
  <si>
    <t>Less: Net Debt</t>
  </si>
  <si>
    <t>Equity Value</t>
  </si>
  <si>
    <t>Implied Share Price</t>
  </si>
  <si>
    <t>Midpoint Implied Share Price</t>
  </si>
  <si>
    <t>Sensitivity Analysis: Implied Share Price (€)</t>
  </si>
  <si>
    <t>WACC vs. Terminal Growth Rate</t>
  </si>
  <si>
    <t>WACC \ g</t>
  </si>
  <si>
    <t>WACC vs. Exit EV/EBITDA Multiple</t>
  </si>
  <si>
    <t>WACC \ Exit ×</t>
  </si>
  <si>
    <t>Comparable Company Analysis — FY2025</t>
  </si>
  <si>
    <t>All market data as of June 2026. Financials from latest annual filings.</t>
  </si>
  <si>
    <t>Company</t>
  </si>
  <si>
    <t>Mkt Cap (€B)</t>
  </si>
  <si>
    <t>EV (€B)</t>
  </si>
  <si>
    <t>Rev (€B)</t>
  </si>
  <si>
    <t>EBITDA (€B)</t>
  </si>
  <si>
    <t>Net Inc (€B)</t>
  </si>
  <si>
    <t>EV/Rev</t>
  </si>
  <si>
    <t>EV/EBITDA</t>
  </si>
  <si>
    <t>P/E</t>
  </si>
  <si>
    <t>Hermès</t>
  </si>
  <si>
    <t>LVMH</t>
  </si>
  <si>
    <t>Moncler</t>
  </si>
  <si>
    <t>Prada</t>
  </si>
  <si>
    <t>Kering (Acquirer)</t>
  </si>
  <si>
    <t>Zegna</t>
  </si>
  <si>
    <t>Ferragamo</t>
  </si>
  <si>
    <t>Mean (ex-Kering)</t>
  </si>
  <si>
    <t>Median (ex-Kering)</t>
  </si>
  <si>
    <t>Implied Cucinelli Valuation (€M)</t>
  </si>
  <si>
    <t>EV/Revenue</t>
  </si>
  <si>
    <t>P/E (Equity Value)</t>
  </si>
  <si>
    <t>Cucinelli LTM Metric</t>
  </si>
  <si>
    <t>At Median Multiple → EV</t>
  </si>
  <si>
    <t>Note: EV/Revenue and EV/EBITDA give Enterprise Value; P/E column gives Equity Value (market cap) directly — no net debt adjustment needed</t>
  </si>
  <si>
    <t>At Mean Multiple → EV</t>
  </si>
  <si>
    <t>Implied Price/Share (Median)</t>
  </si>
  <si>
    <t>P/E → Equity Value per share (no net debt adj)</t>
  </si>
  <si>
    <t>Implied Price/Share (Mean)</t>
  </si>
  <si>
    <t>Precedent Transaction Analysis — Luxury / Premium Consumer</t>
  </si>
  <si>
    <t>Year</t>
  </si>
  <si>
    <t>Premium</t>
  </si>
  <si>
    <t>Tiffany &amp; Co.</t>
  </si>
  <si>
    <t>2021</t>
  </si>
  <si>
    <t>LVMH press release, Jan 2021</t>
  </si>
  <si>
    <t>Capri Holdings</t>
  </si>
  <si>
    <t>Versace</t>
  </si>
  <si>
    <t>2018</t>
  </si>
  <si>
    <t>n/a</t>
  </si>
  <si>
    <t>Capri Holdings 8-K, Sep 2018</t>
  </si>
  <si>
    <t>Tapestry</t>
  </si>
  <si>
    <t>2023</t>
  </si>
  <si>
    <t>Tapestry press release, Aug 2023</t>
  </si>
  <si>
    <t>Coach</t>
  </si>
  <si>
    <t>Kate Spade</t>
  </si>
  <si>
    <t>2017</t>
  </si>
  <si>
    <t>Tapestry 8-K, May 2017</t>
  </si>
  <si>
    <t>Michael Kors</t>
  </si>
  <si>
    <t>Jimmy Choo</t>
  </si>
  <si>
    <t>Capri Holdings 8-K, Jul 2017</t>
  </si>
  <si>
    <t>Richemont</t>
  </si>
  <si>
    <t>Watchfinder</t>
  </si>
  <si>
    <t>Richemont press release, Jun 2018</t>
  </si>
  <si>
    <t>Mean</t>
  </si>
  <si>
    <t>Median</t>
  </si>
  <si>
    <t>Implied Cucinelli Valuation at Precedent Medians (€M)</t>
  </si>
  <si>
    <t>EV/Revenue (Median) × Revenue</t>
  </si>
  <si>
    <t>EV/EBITDA (Median) × EBITDA</t>
  </si>
  <si>
    <t>Implied Price/Share (EV/Revenue)</t>
  </si>
  <si>
    <t>Implied Price/Share (EV/EBITDA)</t>
  </si>
  <si>
    <t>Note: Precedent multiples are lower than trading comps — most targets (Versace, Capri, Kate Spade) were mid-tier or distressed brands. Cucinelli’s premium positioning justifies multiples well above the precedent median.</t>
  </si>
  <si>
    <t>Sources &amp; Uses of Funds (€M)</t>
  </si>
  <si>
    <t>Sources</t>
  </si>
  <si>
    <t>Uses</t>
  </si>
  <si>
    <t>Revolving Credit Facility Draw</t>
  </si>
  <si>
    <t>Equity Purchase Price</t>
  </si>
  <si>
    <t>New Term Loan A (5Y)</t>
  </si>
  <si>
    <t>Repay Existing Cucinelli Debt</t>
  </si>
  <si>
    <t>New Term Loan B (7Y)</t>
  </si>
  <si>
    <t>Transaction Fees (est. 1.5%)</t>
  </si>
  <si>
    <t>Cash on Balance Sheet</t>
  </si>
  <si>
    <t>Financing Fees (est. 2.0% of debt)</t>
  </si>
  <si>
    <t>New Kering Equity Issued</t>
  </si>
  <si>
    <t>Balancing Item — Net Cash Draw from Kering Reserves</t>
  </si>
  <si>
    <t>Total Sources</t>
  </si>
  <si>
    <t>Total Uses</t>
  </si>
  <si>
    <t>Sources - Uses (must be zero)</t>
  </si>
  <si>
    <t>Note: The negative balancing item (€(294.5)M) reflects that total acquisition costs slightly exceed the sum of new financing raised + Cucinelli equity price. This represents additional cash drawn from Kering existing reserves. All items net to zero; Sources = Uses = €8,500M.</t>
  </si>
  <si>
    <t>Debt Summary Post-Transaction</t>
  </si>
  <si>
    <t>Instrument</t>
  </si>
  <si>
    <t>Rate</t>
  </si>
  <si>
    <t>Maturity</t>
  </si>
  <si>
    <t>Revolving Credit Facility</t>
  </si>
  <si>
    <t>Term Loan A</t>
  </si>
  <si>
    <t>Term Loan B</t>
  </si>
  <si>
    <t>Existing Kering Debt</t>
  </si>
  <si>
    <t>Various</t>
  </si>
  <si>
    <t>Total Pro Forma Debt</t>
  </si>
  <si>
    <t>Pro Forma Net Debt / EBITDA</t>
  </si>
  <si>
    <t>Combined Kering + Cucinelli EBITDA</t>
  </si>
  <si>
    <t>Transaction Fee % (of equity purchase)</t>
  </si>
  <si>
    <t>Financing Fee % (of new debt)</t>
  </si>
  <si>
    <t>Synergy Analysis — Cost &amp; Revenue Synergies</t>
  </si>
  <si>
    <t>Cost Synergies Breakdown (€M, Run-Rate)</t>
  </si>
  <si>
    <t>Category</t>
  </si>
  <si>
    <t>Run-Rate (€M)</t>
  </si>
  <si>
    <t>Procurement &amp; Raw Materials</t>
  </si>
  <si>
    <t>Consolidated leather/cashmere sourcing across Kering brands</t>
  </si>
  <si>
    <t>SG&amp;A &amp; Headcount</t>
  </si>
  <si>
    <t>Elimination of duplicate corporate functions (finance, legal, HR, IT)</t>
  </si>
  <si>
    <t>Distribution &amp; Logistics</t>
  </si>
  <si>
    <t>Shared European warehouse network and last-mile logistics</t>
  </si>
  <si>
    <t>Marketing &amp; Digital</t>
  </si>
  <si>
    <t>Consolidated digital platform and shared media buying scale</t>
  </si>
  <si>
    <t>IT &amp; Systems Integration</t>
  </si>
  <si>
    <t>Single ERP and CRM platform migration</t>
  </si>
  <si>
    <t>Total Cost Synergies (Run-Rate)</t>
  </si>
  <si>
    <t>Revenue Synergies (€M, Run-Rate)</t>
  </si>
  <si>
    <t>Cross-selling via Kering DTC</t>
  </si>
  <si>
    <t>Cucinelli products in Kering e-commerce ecosystem</t>
  </si>
  <si>
    <t>Asia-Pacific Distribution</t>
  </si>
  <si>
    <t>Leverage Kering's established Asia retail footprint</t>
  </si>
  <si>
    <t>Pricing Power (Brand Halo)</t>
  </si>
  <si>
    <t>Modest price increases from association with Kering luxury portfolio</t>
  </si>
  <si>
    <t>Total Revenue Synergies (Run-Rate)</t>
  </si>
  <si>
    <t>Total Combined Synergies (Run-Rate, Pre-Tax)</t>
  </si>
  <si>
    <t>Synergy Phase-In Schedule</t>
  </si>
  <si>
    <t>Year 1</t>
  </si>
  <si>
    <t>Year 2</t>
  </si>
  <si>
    <t>Year 3</t>
  </si>
  <si>
    <t>Run-Rate</t>
  </si>
  <si>
    <t>Realization %</t>
  </si>
  <si>
    <t>Cost Synergies (€M)</t>
  </si>
  <si>
    <t>Revenue Synergies (€M)</t>
  </si>
  <si>
    <t>Total Pre-Tax Synergies (€M)</t>
  </si>
  <si>
    <t>After-Tax Synergies (€M, 26% tax)</t>
  </si>
  <si>
    <t>Integration Costs (one-time)</t>
  </si>
  <si>
    <t>Net Synergy Benefit (€M)</t>
  </si>
  <si>
    <t>Synergy NPV</t>
  </si>
  <si>
    <t>Discount Rate (WACC)</t>
  </si>
  <si>
    <t>PV of Synergy Cash Flows (phased Yr 1-3, then perpetuity from Yr 4)</t>
  </si>
  <si>
    <t>Yr 1-3 discounted individually per phase-in schedule; Yr 4+ terminal perpetuity (run-rate after-tax syn / WACC) discounted to present at end of Yr 3</t>
  </si>
  <si>
    <t>Less: PV of Integration Costs</t>
  </si>
  <si>
    <t>Net Synergy Value (€M)</t>
  </si>
  <si>
    <t>Net Synergy Value per Cucinelli Share</t>
  </si>
  <si>
    <t>Accretion / Dilution Analysis (3-Year)</t>
  </si>
  <si>
    <t>Deal Financing Assumptions</t>
  </si>
  <si>
    <t>Total Equity Value (€M)</t>
  </si>
  <si>
    <t>Cash Consideration — 60% (€M)</t>
  </si>
  <si>
    <t>Stock Consideration — 40% (€M)</t>
  </si>
  <si>
    <t>Kering Share Price (€)</t>
  </si>
  <si>
    <t>New Kering Shares Issued (M)</t>
  </si>
  <si>
    <t>Existing Kering Shares (M)</t>
  </si>
  <si>
    <t>Pro Forma Share Count (M)</t>
  </si>
  <si>
    <t>Cash on Hand Used (€M)</t>
  </si>
  <si>
    <t>New Debt Raised (€M)</t>
  </si>
  <si>
    <t>Blended Cost of New Debt (Pre-Tax)</t>
  </si>
  <si>
    <t>After-Tax Interest Expense (€M)</t>
  </si>
  <si>
    <t>EPS Impact Analysis (3-Year)</t>
  </si>
  <si>
    <t>Standalone</t>
  </si>
  <si>
    <t>Year 1 PF</t>
  </si>
  <si>
    <t>Year 2 PF</t>
  </si>
  <si>
    <t>Year 3 PF</t>
  </si>
  <si>
    <t>Kering Net Income (€M)</t>
  </si>
  <si>
    <t>Cucinelli Net Income (€M)</t>
  </si>
  <si>
    <t>—</t>
  </si>
  <si>
    <t>After-Tax Synergies (€M)</t>
  </si>
  <si>
    <t>Less: After-Tax Interest (€M)</t>
  </si>
  <si>
    <t>Less: Integration Costs, After-Tax (€M)</t>
  </si>
  <si>
    <t>Pro Forma Net Income (€M)</t>
  </si>
  <si>
    <t>EPS (€)</t>
  </si>
  <si>
    <t>Accretion / (Dilution) (€)</t>
  </si>
  <si>
    <t>Accretion / (Dilution) %</t>
  </si>
  <si>
    <t>Breakeven Synergy Analysis</t>
  </si>
  <si>
    <t>Pre-Tax Synergies Required for Year 1 EPS Breakeven (€M)</t>
  </si>
  <si>
    <t>vs. our estimate of €130M run-rate</t>
  </si>
  <si>
    <t>Note: Transaction is dilutive to Kering EPS in Year 1 (∼10%) but dilution narrows to ~3% by Year 3 as synergies ramp and Cucinelli earnings grow. Full accretion expected by Year 4–5 under base-case assumptions. Strategic rationale (Gucci diversification, quiet luxury positioning) must justify the near-term dilution.</t>
  </si>
  <si>
    <t>Brunello Cucinelli S.p.A. — Leveraged Buyout Analysis</t>
  </si>
  <si>
    <t>Hypothetical PE Sponsor Acquisition — Floor Valuation Reference</t>
  </si>
  <si>
    <t>Transaction Assumptions</t>
  </si>
  <si>
    <t>Input</t>
  </si>
  <si>
    <t>Note</t>
  </si>
  <si>
    <t>Entry EV / LTM EBITDA (x)</t>
  </si>
  <si>
    <t>Mid-market PE comp for luxury assets</t>
  </si>
  <si>
    <t>LTM EBITDA (€M)</t>
  </si>
  <si>
    <t>FY2025 Actuals</t>
  </si>
  <si>
    <t>Entry Enterprise Value (€M)</t>
  </si>
  <si>
    <t>EV = Entry Multiple x EBITDA</t>
  </si>
  <si>
    <t>Less: Net Debt (€M)</t>
  </si>
  <si>
    <t>FY2025 Net Debt</t>
  </si>
  <si>
    <t>Equity Purchase Price (€M)</t>
  </si>
  <si>
    <t>EV minus Net Debt</t>
  </si>
  <si>
    <t>Debt Financing (% of EV)</t>
  </si>
  <si>
    <t>Conservative for luxury (typically 50-60%)</t>
  </si>
  <si>
    <t>Total Debt at Entry (€M)</t>
  </si>
  <si>
    <t>Sponsor Equity (€M)</t>
  </si>
  <si>
    <t>Equity Purchase Price minus Debt</t>
  </si>
  <si>
    <t>Senior Secured (% of total debt)</t>
  </si>
  <si>
    <t>Subordinated / Mezz (% of total debt)</t>
  </si>
  <si>
    <t>Senior Interest Rate</t>
  </si>
  <si>
    <t>Spread ~275bps over 3.5% base</t>
  </si>
  <si>
    <t>Subordinated Interest Rate</t>
  </si>
  <si>
    <t>Higher yield for mezz tranche</t>
  </si>
  <si>
    <t>Annual Amortisation (% of senior debt, p.a.)</t>
  </si>
  <si>
    <t>5% p.a. cash sweep</t>
  </si>
  <si>
    <t>Hold Period (years)</t>
  </si>
  <si>
    <t>Standard 5-year hold</t>
  </si>
  <si>
    <t>Exit EV/EBITDA Multiple (x)</t>
  </si>
  <si>
    <t>Same as entry (conservative base case)</t>
  </si>
  <si>
    <t>Italian statutory</t>
  </si>
  <si>
    <t>Management Fee (% of EV, p.a.)</t>
  </si>
  <si>
    <t>Typical 2% of entry EV p.a.</t>
  </si>
  <si>
    <t>Debt Schedule (EUR M)</t>
  </si>
  <si>
    <t>Entry</t>
  </si>
  <si>
    <t>Year 4</t>
  </si>
  <si>
    <t>Year 5</t>
  </si>
  <si>
    <t>Senior Secured Debt</t>
  </si>
  <si>
    <t>Subordinated / Mezz Debt (bullet)</t>
  </si>
  <si>
    <t>Interest Expense (EUR M)</t>
  </si>
  <si>
    <t>Debt / Entry EBITDA (x)</t>
  </si>
  <si>
    <t>Projected Cash Flow (EUR M)</t>
  </si>
  <si>
    <t>Less: D&amp;A</t>
  </si>
  <si>
    <t>Less: Interest Expense</t>
  </si>
  <si>
    <t>Less: Management Fee (2% of EV)</t>
  </si>
  <si>
    <t>Less: Mandatory Debt Amortisation</t>
  </si>
  <si>
    <t>Free Cash Flow to Equity</t>
  </si>
  <si>
    <t>Cumulative FCFE</t>
  </si>
  <si>
    <t>Returns Analysis</t>
  </si>
  <si>
    <t>Exit EBITDA - Year 5 (EUR M)</t>
  </si>
  <si>
    <t>Exit Enterprise Value (EUR M)</t>
  </si>
  <si>
    <t>Less: Exit Total Debt (EUR M)</t>
  </si>
  <si>
    <t>Exit Equity Value (EUR M)</t>
  </si>
  <si>
    <t>Sponsor Entry Equity (EUR M)</t>
  </si>
  <si>
    <t>MOIC (x)</t>
  </si>
  <si>
    <t>Gross IRR (5-year hold)</t>
  </si>
  <si>
    <t>Implied Entry EV / Share (EUR)</t>
  </si>
  <si>
    <t>Implied Entry Equity Value / Share (EUR)</t>
  </si>
  <si>
    <t>IRR Sensitivity: Entry Multiple vs Exit Multiple</t>
  </si>
  <si>
    <t>Entry \ Exit</t>
  </si>
  <si>
    <t>Valuation Summary — Football Field (€ per Share)</t>
  </si>
  <si>
    <t>All values dynamically linked to model tabs</t>
  </si>
  <si>
    <t>Methodology</t>
  </si>
  <si>
    <t>Low</t>
  </si>
  <si>
    <t>Midpoint</t>
  </si>
  <si>
    <t>High</t>
  </si>
  <si>
    <t>52-Week Trading Range</t>
  </si>
  <si>
    <t>Bloomberg, Jun 2026</t>
  </si>
  <si>
    <t>DCF — Perpetuity Growth</t>
  </si>
  <si>
    <t>See DCF tab</t>
  </si>
  <si>
    <t>DCF — Exit Multiple</t>
  </si>
  <si>
    <t>Trading Comps (EV/EBITDA)</t>
  </si>
  <si>
    <t>See Comps tab</t>
  </si>
  <si>
    <t>Precedent Transactions</t>
  </si>
  <si>
    <t>See Precedents tab</t>
  </si>
  <si>
    <t>LBO Analysis (PE Floor)</t>
  </si>
  <si>
    <t>See LBO tab — PE buyer floor at 18x entry, 5yr hold</t>
  </si>
  <si>
    <t>Offer Price</t>
  </si>
  <si>
    <t>Key Transaction Metrics</t>
  </si>
  <si>
    <t>Offer Price / Share</t>
  </si>
  <si>
    <t>Implied EV/EBITDA</t>
  </si>
  <si>
    <t>Implied EV/Revenue</t>
  </si>
  <si>
    <t>Year 1 EPS Accretion/(Dilution)</t>
  </si>
  <si>
    <t>Year 3 EPS Accretion/(Dilution)</t>
  </si>
  <si>
    <t>Synergy NPV / Share</t>
  </si>
  <si>
    <t>Recommendation</t>
  </si>
  <si>
    <t>Chart Data (helper)</t>
  </si>
  <si>
    <t>Method</t>
  </si>
  <si>
    <t>Span</t>
  </si>
  <si>
    <t>52-Week Range</t>
  </si>
  <si>
    <t>DCF Perpetuity</t>
  </si>
  <si>
    <t>DCF Exit Multiple</t>
  </si>
  <si>
    <t>Trading Comps</t>
  </si>
  <si>
    <t>Precedent Txns</t>
  </si>
  <si>
    <t>Acquisition (Cash&amp;Stock)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</si>
</sst>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€#,##0.00"/>
    <numFmt numFmtId="165" formatCode="0.0%"/>
    <numFmt numFmtId="166" formatCode="#,##0.0"/>
    <numFmt numFmtId="167" formatCode="\€#,##0"/>
    <numFmt numFmtId="168" formatCode="0.0\x"/>
    <numFmt numFmtId="169" formatCode="0.000"/>
    <numFmt numFmtId="170" formatCode="0.0"/>
    <numFmt numFmtId="171" formatCode="&quot;g = &quot;0.0%"/>
    <numFmt numFmtId="172" formatCode="\€#,##0.0"/>
    <numFmt numFmtId="173" formatCode="0.0%&quot;  premium to unaffected&quot;"/>
  </numFmts>
  <fonts count="2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1F3864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8"/>
      <color rgb="FF888888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8"/>
      <color rgb="FF999999"/>
      <name val="Arial"/>
      <family val="2"/>
    </font>
    <font>
      <i/>
      <sz val="9"/>
      <color rgb="FF595959"/>
      <name val="Cambria"/>
      <family val="1"/>
    </font>
    <font>
      <b/>
      <sz val="10"/>
      <color rgb="FF1F3864"/>
      <name val="Arial"/>
      <family val="2"/>
    </font>
    <font>
      <sz val="11"/>
      <color rgb="FF0000FF"/>
      <name val="Cambria"/>
      <family val="1"/>
    </font>
    <font>
      <sz val="10"/>
      <color rgb="FF00800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3"/>
      <name val="Cambria"/>
      <family val="1"/>
    </font>
    <font>
      <i/>
      <sz val="10"/>
      <color rgb="FF595959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i/>
      <sz val="8"/>
      <color rgb="FF595959"/>
      <name val="Cambria"/>
      <family val="1"/>
    </font>
    <font>
      <sz val="9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D6E4F0"/>
        <bgColor rgb="FFD9E2F3"/>
      </patternFill>
    </fill>
    <fill>
      <patternFill patternType="solid">
        <fgColor rgb="FF1F3864"/>
        <bgColor rgb="FF2F549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C9A227"/>
        <bgColor rgb="FF99CC00"/>
      </patternFill>
    </fill>
    <fill>
      <patternFill patternType="solid">
        <fgColor rgb="FFD9E2F3"/>
        <bgColor rgb="FFD6E4F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10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66" fontId="8" fillId="3" borderId="2" xfId="0" applyNumberFormat="1" applyFont="1" applyFill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7" fontId="8" fillId="3" borderId="2" xfId="0" applyNumberFormat="1" applyFont="1" applyFill="1" applyBorder="1" applyAlignment="1">
      <alignment horizontal="right" vertical="center"/>
    </xf>
    <xf numFmtId="167" fontId="4" fillId="3" borderId="2" xfId="0" applyNumberFormat="1" applyFont="1" applyFill="1" applyBorder="1" applyAlignment="1">
      <alignment horizontal="right" vertical="center"/>
    </xf>
    <xf numFmtId="168" fontId="4" fillId="2" borderId="2" xfId="0" applyNumberFormat="1" applyFont="1" applyFill="1" applyBorder="1" applyAlignment="1">
      <alignment horizontal="right" vertical="center"/>
    </xf>
    <xf numFmtId="168" fontId="4" fillId="3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7" fontId="8" fillId="5" borderId="2" xfId="0" applyNumberFormat="1" applyFont="1" applyFill="1" applyBorder="1" applyAlignment="1">
      <alignment horizontal="right" vertical="center"/>
    </xf>
    <xf numFmtId="9" fontId="5" fillId="5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 wrapText="1"/>
    </xf>
    <xf numFmtId="167" fontId="8" fillId="2" borderId="2" xfId="0" applyNumberFormat="1" applyFont="1" applyFill="1" applyBorder="1" applyAlignment="1">
      <alignment horizontal="right" vertical="center"/>
    </xf>
    <xf numFmtId="9" fontId="5" fillId="2" borderId="2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left" vertical="center" wrapText="1"/>
    </xf>
    <xf numFmtId="167" fontId="4" fillId="3" borderId="3" xfId="0" applyNumberFormat="1" applyFont="1" applyFill="1" applyBorder="1" applyAlignment="1">
      <alignment horizontal="right" vertical="center"/>
    </xf>
    <xf numFmtId="9" fontId="4" fillId="3" borderId="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3" fontId="8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165" fontId="8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 wrapText="1"/>
    </xf>
    <xf numFmtId="165" fontId="5" fillId="5" borderId="2" xfId="0" applyNumberFormat="1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3" fontId="4" fillId="5" borderId="3" xfId="0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168" fontId="5" fillId="2" borderId="2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vertical="center" wrapText="1"/>
    </xf>
    <xf numFmtId="165" fontId="8" fillId="6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165" fontId="8" fillId="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 wrapText="1"/>
    </xf>
    <xf numFmtId="0" fontId="13" fillId="0" borderId="0" xfId="0" applyFont="1"/>
    <xf numFmtId="0" fontId="11" fillId="0" borderId="0" xfId="0" applyFont="1"/>
    <xf numFmtId="0" fontId="0" fillId="0" borderId="1" xfId="0" applyBorder="1"/>
    <xf numFmtId="3" fontId="5" fillId="5" borderId="2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3" fontId="14" fillId="2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left" vertical="center" wrapText="1"/>
    </xf>
    <xf numFmtId="3" fontId="14" fillId="5" borderId="2" xfId="0" applyNumberFormat="1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right" vertical="center"/>
    </xf>
    <xf numFmtId="10" fontId="8" fillId="6" borderId="2" xfId="0" applyNumberFormat="1" applyFont="1" applyFill="1" applyBorder="1" applyAlignment="1">
      <alignment horizontal="right" vertical="center"/>
    </xf>
    <xf numFmtId="2" fontId="8" fillId="6" borderId="2" xfId="0" applyNumberFormat="1" applyFont="1" applyFill="1" applyBorder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0" fontId="4" fillId="3" borderId="3" xfId="0" applyNumberFormat="1" applyFont="1" applyFill="1" applyBorder="1" applyAlignment="1">
      <alignment horizontal="right" vertical="center"/>
    </xf>
    <xf numFmtId="167" fontId="14" fillId="5" borderId="2" xfId="0" applyNumberFormat="1" applyFont="1" applyFill="1" applyBorder="1" applyAlignment="1">
      <alignment horizontal="right" vertical="center"/>
    </xf>
    <xf numFmtId="169" fontId="5" fillId="2" borderId="2" xfId="0" applyNumberFormat="1" applyFont="1" applyFill="1" applyBorder="1" applyAlignment="1">
      <alignment horizontal="right" vertical="center"/>
    </xf>
    <xf numFmtId="167" fontId="4" fillId="5" borderId="2" xfId="0" applyNumberFormat="1" applyFont="1" applyFill="1" applyBorder="1" applyAlignment="1">
      <alignment horizontal="right" vertical="center"/>
    </xf>
    <xf numFmtId="168" fontId="8" fillId="6" borderId="2" xfId="0" applyNumberFormat="1" applyFont="1" applyFill="1" applyBorder="1" applyAlignment="1">
      <alignment horizontal="right" vertical="center"/>
    </xf>
    <xf numFmtId="167" fontId="5" fillId="2" borderId="2" xfId="0" applyNumberFormat="1" applyFont="1" applyFill="1" applyBorder="1" applyAlignment="1">
      <alignment horizontal="right" vertical="center"/>
    </xf>
    <xf numFmtId="167" fontId="5" fillId="5" borderId="2" xfId="0" applyNumberFormat="1" applyFont="1" applyFill="1" applyBorder="1" applyAlignment="1">
      <alignment horizontal="right" vertical="center"/>
    </xf>
    <xf numFmtId="170" fontId="5" fillId="5" borderId="2" xfId="0" applyNumberFormat="1" applyFont="1" applyFill="1" applyBorder="1" applyAlignment="1">
      <alignment horizontal="right" vertical="center"/>
    </xf>
    <xf numFmtId="164" fontId="4" fillId="3" borderId="3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 wrapText="1"/>
    </xf>
    <xf numFmtId="171" fontId="9" fillId="4" borderId="2" xfId="0" applyNumberFormat="1" applyFont="1" applyFill="1" applyBorder="1" applyAlignment="1">
      <alignment horizontal="center" vertical="center" wrapText="1"/>
    </xf>
    <xf numFmtId="172" fontId="5" fillId="5" borderId="2" xfId="0" applyNumberFormat="1" applyFont="1" applyFill="1" applyBorder="1" applyAlignment="1">
      <alignment horizontal="right" vertical="center"/>
    </xf>
    <xf numFmtId="172" fontId="5" fillId="2" borderId="2" xfId="0" applyNumberFormat="1" applyFont="1" applyFill="1" applyBorder="1" applyAlignment="1">
      <alignment horizontal="right" vertical="center"/>
    </xf>
    <xf numFmtId="172" fontId="9" fillId="7" borderId="2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left" vertical="center" wrapText="1"/>
    </xf>
    <xf numFmtId="172" fontId="9" fillId="4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6" fontId="8" fillId="5" borderId="2" xfId="0" applyNumberFormat="1" applyFont="1" applyFill="1" applyBorder="1" applyAlignment="1">
      <alignment horizontal="right" vertical="center"/>
    </xf>
    <xf numFmtId="168" fontId="4" fillId="5" borderId="2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 wrapText="1"/>
    </xf>
    <xf numFmtId="166" fontId="8" fillId="6" borderId="2" xfId="0" applyNumberFormat="1" applyFont="1" applyFill="1" applyBorder="1" applyAlignment="1">
      <alignment horizontal="right" vertical="center"/>
    </xf>
    <xf numFmtId="168" fontId="4" fillId="6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right" vertical="center"/>
    </xf>
    <xf numFmtId="166" fontId="0" fillId="0" borderId="0" xfId="0" applyNumberFormat="1"/>
    <xf numFmtId="168" fontId="4" fillId="3" borderId="3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72" fontId="8" fillId="2" borderId="2" xfId="0" applyNumberFormat="1" applyFont="1" applyFill="1" applyBorder="1" applyAlignment="1">
      <alignment horizontal="right" vertical="center"/>
    </xf>
    <xf numFmtId="168" fontId="8" fillId="2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172" fontId="8" fillId="5" borderId="2" xfId="0" applyNumberFormat="1" applyFont="1" applyFill="1" applyBorder="1" applyAlignment="1">
      <alignment horizontal="right" vertical="center"/>
    </xf>
    <xf numFmtId="168" fontId="8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165" fontId="4" fillId="3" borderId="3" xfId="0" applyNumberFormat="1" applyFont="1" applyFill="1" applyBorder="1" applyAlignment="1">
      <alignment horizontal="right" vertical="center"/>
    </xf>
    <xf numFmtId="167" fontId="15" fillId="2" borderId="2" xfId="0" applyNumberFormat="1" applyFont="1" applyFill="1" applyBorder="1" applyAlignment="1">
      <alignment horizontal="right" vertical="center"/>
    </xf>
    <xf numFmtId="10" fontId="8" fillId="5" borderId="2" xfId="0" applyNumberFormat="1" applyFont="1" applyFill="1" applyBorder="1" applyAlignment="1">
      <alignment horizontal="right" vertical="center"/>
    </xf>
    <xf numFmtId="10" fontId="8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10" fontId="0" fillId="0" borderId="0" xfId="0" applyNumberFormat="1"/>
    <xf numFmtId="0" fontId="5" fillId="5" borderId="4" xfId="0" applyFont="1" applyFill="1" applyBorder="1" applyAlignment="1">
      <alignment horizontal="left" vertical="center" wrapText="1"/>
    </xf>
    <xf numFmtId="165" fontId="8" fillId="6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 wrapText="1"/>
    </xf>
    <xf numFmtId="9" fontId="8" fillId="5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167" fontId="8" fillId="6" borderId="2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166" fontId="4" fillId="3" borderId="3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67" fontId="14" fillId="2" borderId="2" xfId="0" applyNumberFormat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left" vertical="center" wrapText="1"/>
    </xf>
    <xf numFmtId="167" fontId="16" fillId="2" borderId="2" xfId="0" applyNumberFormat="1" applyFont="1" applyFill="1" applyBorder="1" applyAlignment="1">
      <alignment horizontal="right" vertical="center"/>
    </xf>
    <xf numFmtId="166" fontId="14" fillId="2" borderId="2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17" fillId="0" borderId="0" xfId="0" applyFont="1"/>
    <xf numFmtId="0" fontId="18" fillId="0" borderId="0" xfId="0" applyFont="1"/>
    <xf numFmtId="0" fontId="19" fillId="8" borderId="0" xfId="0" applyFont="1" applyFill="1"/>
    <xf numFmtId="0" fontId="20" fillId="0" borderId="0" xfId="0" applyFont="1"/>
    <xf numFmtId="3" fontId="0" fillId="0" borderId="0" xfId="0" applyNumberFormat="1"/>
    <xf numFmtId="0" fontId="21" fillId="0" borderId="0" xfId="0" applyFont="1"/>
    <xf numFmtId="164" fontId="8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173" fontId="4" fillId="3" borderId="3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right" vertical="center"/>
    </xf>
    <xf numFmtId="164" fontId="22" fillId="2" borderId="0" xfId="0" applyNumberFormat="1" applyFont="1" applyFill="1" applyAlignment="1">
      <alignment horizontal="right" vertical="center"/>
    </xf>
    <xf numFmtId="0" fontId="5" fillId="5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3A"/>
      <rgbColor rgb="FFB3B3B3"/>
      <rgbColor rgb="FF888888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FF99"/>
      <rgbColor rgb="FF99CCFF"/>
      <rgbColor rgb="FFFF99CC"/>
      <rgbColor rgb="FFCC99FF"/>
      <rgbColor rgb="FFDDDDDD"/>
      <rgbColor rgb="FF3366FF"/>
      <rgbColor rgb="FF33CCCC"/>
      <rgbColor rgb="FF99CC00"/>
      <rgbColor rgb="FFFFCC00"/>
      <rgbColor rgb="FFC9A227"/>
      <rgbColor rgb="FFFF6600"/>
      <rgbColor rgb="FF666666"/>
      <rgbColor rgb="FF999999"/>
      <rgbColor rgb="FF1F3864"/>
      <rgbColor rgb="FF339966"/>
      <rgbColor rgb="FF003300"/>
      <rgbColor rgb="FF333300"/>
      <rgbColor rgb="FF7B3F00"/>
      <rgbColor rgb="FF993366"/>
      <rgbColor rgb="FF2F54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Projected Revenue &amp; EBITDA (€M)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Projections!$B$16</c:f>
              <c:strCache>
                <c:ptCount val="1"/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Projections!$C$15:$G$15</c:f>
              <c:numCache>
                <c:formatCode>General</c:formatCode>
                <c:ptCount val="5"/>
              </c:numCache>
            </c:numRef>
          </c:cat>
          <c:val>
            <c:numRef>
              <c:f>Projections!$C$16:$G$16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E-0043-A5B9-4CB36F389CD7}"/>
            </c:ext>
          </c:extLst>
        </c:ser>
        <c:ser>
          <c:idx val="1"/>
          <c:order val="1"/>
          <c:tx>
            <c:strRef>
              <c:f>Projections!$B$20</c:f>
              <c:strCache>
                <c:ptCount val="1"/>
                <c:pt idx="0">
                  <c:v>  Gross Margin %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Projections!$C$15:$G$15</c:f>
              <c:numCache>
                <c:formatCode>General</c:formatCode>
                <c:ptCount val="5"/>
              </c:numCache>
            </c:numRef>
          </c:cat>
          <c:val>
            <c:numRef>
              <c:f>Projections!$C$20:$G$20</c:f>
              <c:numCache>
                <c:formatCode>0.0%</c:formatCode>
                <c:ptCount val="5"/>
                <c:pt idx="0">
                  <c:v>0.755</c:v>
                </c:pt>
                <c:pt idx="1">
                  <c:v>0.76</c:v>
                </c:pt>
                <c:pt idx="2">
                  <c:v>0.76500000000000001</c:v>
                </c:pt>
                <c:pt idx="3">
                  <c:v>0.77</c:v>
                </c:pt>
                <c:pt idx="4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7E-0043-A5B9-4CB36F389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71042"/>
        <c:axId val="26672978"/>
      </c:barChart>
      <c:catAx>
        <c:axId val="96071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26672978"/>
        <c:crosses val="autoZero"/>
        <c:auto val="1"/>
        <c:lblAlgn val="ctr"/>
        <c:lblOffset val="100"/>
        <c:noMultiLvlLbl val="0"/>
      </c:catAx>
      <c:valAx>
        <c:axId val="266729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€M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960710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Synergy Phase-In (€M, Pre-Tax)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'Synergy Analysis'!$B$25</c:f>
              <c:strCache>
                <c:ptCount val="1"/>
                <c:pt idx="0">
                  <c:v>Cost Synergies (€M)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'Synergy Analysis'!$C$23:$F$23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Run-Rate</c:v>
                </c:pt>
              </c:strCache>
            </c:strRef>
          </c:cat>
          <c:val>
            <c:numRef>
              <c:f>'Synergy Analysis'!$C$25:$E$25</c:f>
              <c:numCache>
                <c:formatCode>\€#,##0</c:formatCode>
                <c:ptCount val="3"/>
                <c:pt idx="0">
                  <c:v>35</c:v>
                </c:pt>
                <c:pt idx="1">
                  <c:v>65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0-684A-BCCC-A51863F6F2FE}"/>
            </c:ext>
          </c:extLst>
        </c:ser>
        <c:ser>
          <c:idx val="1"/>
          <c:order val="1"/>
          <c:tx>
            <c:strRef>
              <c:f>'Synergy Analysis'!$B$26</c:f>
              <c:strCache>
                <c:ptCount val="1"/>
                <c:pt idx="0">
                  <c:v>Revenue Synergies (€M)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'Synergy Analysis'!$C$23:$F$23</c:f>
              <c:strCache>
                <c:ptCount val="4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Run-Rate</c:v>
                </c:pt>
              </c:strCache>
            </c:strRef>
          </c:cat>
          <c:val>
            <c:numRef>
              <c:f>'Synergy Analysis'!$C$26:$E$26</c:f>
              <c:numCache>
                <c:formatCode>\€#,##0</c:formatCode>
                <c:ptCount val="3"/>
                <c:pt idx="0">
                  <c:v>10.5</c:v>
                </c:pt>
                <c:pt idx="1">
                  <c:v>19.5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0-684A-BCCC-A51863F6F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83104"/>
        <c:axId val="24683102"/>
      </c:barChart>
      <c:catAx>
        <c:axId val="45083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24683102"/>
        <c:crosses val="autoZero"/>
        <c:auto val="1"/>
        <c:lblAlgn val="ctr"/>
        <c:lblOffset val="100"/>
        <c:noMultiLvlLbl val="0"/>
      </c:catAx>
      <c:valAx>
        <c:axId val="246831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€M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45083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Valuation Football Field (€/share) — Offer: €125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'Valuation Summary'!$C$34</c:f>
              <c:strCache>
                <c:ptCount val="1"/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Summary'!$B$35:$B$39</c:f>
              <c:strCache>
                <c:ptCount val="5"/>
                <c:pt idx="0">
                  <c:v>Method</c:v>
                </c:pt>
                <c:pt idx="1">
                  <c:v>52-Week Range</c:v>
                </c:pt>
                <c:pt idx="2">
                  <c:v>DCF Perpetuity</c:v>
                </c:pt>
                <c:pt idx="3">
                  <c:v>DCF Exit Multiple</c:v>
                </c:pt>
                <c:pt idx="4">
                  <c:v>Trading Comps</c:v>
                </c:pt>
              </c:strCache>
            </c:strRef>
          </c:cat>
          <c:val>
            <c:numRef>
              <c:f>'Valuation Summary'!$C$35:$C$39</c:f>
              <c:numCache>
                <c:formatCode>\€#,##0.00</c:formatCode>
                <c:ptCount val="5"/>
                <c:pt idx="0" formatCode="General">
                  <c:v>0</c:v>
                </c:pt>
                <c:pt idx="1">
                  <c:v>82</c:v>
                </c:pt>
                <c:pt idx="2">
                  <c:v>63.994876763299885</c:v>
                </c:pt>
                <c:pt idx="3">
                  <c:v>99.390260896251519</c:v>
                </c:pt>
                <c:pt idx="4">
                  <c:v>65.3068106617647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D-0C46-8F23-8CDC6636778D}"/>
            </c:ext>
          </c:extLst>
        </c:ser>
        <c:ser>
          <c:idx val="1"/>
          <c:order val="1"/>
          <c:tx>
            <c:strRef>
              <c:f>'Valuation Summary'!$D$34</c:f>
              <c:strCache>
                <c:ptCount val="1"/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Summary'!$B$35:$B$39</c:f>
              <c:strCache>
                <c:ptCount val="5"/>
                <c:pt idx="0">
                  <c:v>Method</c:v>
                </c:pt>
                <c:pt idx="1">
                  <c:v>52-Week Range</c:v>
                </c:pt>
                <c:pt idx="2">
                  <c:v>DCF Perpetuity</c:v>
                </c:pt>
                <c:pt idx="3">
                  <c:v>DCF Exit Multiple</c:v>
                </c:pt>
                <c:pt idx="4">
                  <c:v>Trading Comps</c:v>
                </c:pt>
              </c:strCache>
            </c:strRef>
          </c:cat>
          <c:val>
            <c:numRef>
              <c:f>'Valuation Summary'!$D$35:$D$39</c:f>
              <c:numCache>
                <c:formatCode>General</c:formatCode>
                <c:ptCount val="5"/>
                <c:pt idx="0">
                  <c:v>0</c:v>
                </c:pt>
                <c:pt idx="1">
                  <c:v>36</c:v>
                </c:pt>
                <c:pt idx="2">
                  <c:v>12.520736758036932</c:v>
                </c:pt>
                <c:pt idx="3">
                  <c:v>34.272503757328096</c:v>
                </c:pt>
                <c:pt idx="4">
                  <c:v>36.980965073529404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D-0C46-8F23-8CDC66367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8225670"/>
        <c:axId val="28699664"/>
      </c:barChart>
      <c:catAx>
        <c:axId val="382256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€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28699664"/>
        <c:crosses val="autoZero"/>
        <c:auto val="1"/>
        <c:lblAlgn val="ctr"/>
        <c:lblOffset val="100"/>
        <c:noMultiLvlLbl val="0"/>
      </c:catAx>
      <c:valAx>
        <c:axId val="2869966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382256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667800</xdr:colOff>
      <xdr:row>41</xdr:row>
      <xdr:rowOff>2497320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3</xdr:col>
      <xdr:colOff>652680</xdr:colOff>
      <xdr:row>56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223920</xdr:colOff>
      <xdr:row>18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2:E34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0" sqref="E10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5" width="20" customWidth="1"/>
  </cols>
  <sheetData>
    <row r="2" spans="2:5" ht="24" customHeight="1" x14ac:dyDescent="0.2">
      <c r="B2" s="9" t="s">
        <v>0</v>
      </c>
      <c r="C2" s="9"/>
      <c r="D2" s="9"/>
      <c r="E2" s="9"/>
    </row>
    <row r="3" spans="2:5" ht="18" customHeight="1" x14ac:dyDescent="0.2">
      <c r="B3" s="8" t="s">
        <v>1</v>
      </c>
      <c r="C3" s="8"/>
      <c r="D3" s="8"/>
      <c r="E3" s="8"/>
    </row>
    <row r="4" spans="2:5" ht="18" customHeight="1" x14ac:dyDescent="0.2">
      <c r="B4" s="7" t="s">
        <v>2</v>
      </c>
      <c r="C4" s="7"/>
      <c r="D4" s="7"/>
      <c r="E4" s="7"/>
    </row>
    <row r="6" spans="2:5" ht="19.5" customHeight="1" x14ac:dyDescent="0.2">
      <c r="B6" s="6" t="s">
        <v>3</v>
      </c>
      <c r="C6" s="6"/>
      <c r="D6" s="6"/>
      <c r="E6" s="6"/>
    </row>
    <row r="7" spans="2:5" ht="15" customHeight="1" x14ac:dyDescent="0.2">
      <c r="B7" s="13" t="s">
        <v>4</v>
      </c>
      <c r="C7" s="14" t="s">
        <v>5</v>
      </c>
    </row>
    <row r="8" spans="2:5" ht="15" customHeight="1" x14ac:dyDescent="0.2">
      <c r="B8" s="15" t="s">
        <v>6</v>
      </c>
      <c r="C8" s="16" t="s">
        <v>7</v>
      </c>
    </row>
    <row r="9" spans="2:5" ht="15" customHeight="1" x14ac:dyDescent="0.2">
      <c r="B9" s="13" t="s">
        <v>8</v>
      </c>
      <c r="C9" s="14" t="s">
        <v>441</v>
      </c>
    </row>
    <row r="10" spans="2:5" ht="15" customHeight="1" x14ac:dyDescent="0.2">
      <c r="B10" s="15" t="s">
        <v>9</v>
      </c>
      <c r="C10" s="17">
        <v>125</v>
      </c>
      <c r="D10" s="18" t="s">
        <v>10</v>
      </c>
    </row>
    <row r="11" spans="2:5" ht="18.75" customHeight="1" x14ac:dyDescent="0.2">
      <c r="B11" s="13" t="s">
        <v>11</v>
      </c>
      <c r="C11" s="19">
        <v>98</v>
      </c>
      <c r="D11" s="18" t="s">
        <v>12</v>
      </c>
    </row>
    <row r="12" spans="2:5" ht="15" customHeight="1" x14ac:dyDescent="0.2">
      <c r="B12" s="15" t="s">
        <v>13</v>
      </c>
      <c r="C12" s="20">
        <f>(C10-C11)/C11</f>
        <v>0.27551020408163263</v>
      </c>
    </row>
    <row r="13" spans="2:5" ht="18.75" customHeight="1" x14ac:dyDescent="0.2">
      <c r="B13" s="13" t="s">
        <v>14</v>
      </c>
      <c r="C13" s="21">
        <v>68</v>
      </c>
      <c r="D13" s="18" t="s">
        <v>15</v>
      </c>
    </row>
    <row r="14" spans="2:5" ht="15" customHeight="1" x14ac:dyDescent="0.2">
      <c r="B14" s="15" t="s">
        <v>16</v>
      </c>
      <c r="C14" s="22">
        <f>C10*C13</f>
        <v>8500</v>
      </c>
    </row>
    <row r="15" spans="2:5" ht="18.75" customHeight="1" x14ac:dyDescent="0.2">
      <c r="B15" s="13" t="s">
        <v>17</v>
      </c>
      <c r="C15" s="23">
        <f>'Cucinelli Financials'!H42</f>
        <v>45</v>
      </c>
      <c r="D15" s="18" t="s">
        <v>18</v>
      </c>
    </row>
    <row r="16" spans="2:5" ht="15" customHeight="1" x14ac:dyDescent="0.2">
      <c r="B16" s="15" t="s">
        <v>19</v>
      </c>
      <c r="C16" s="24">
        <f>C14+C15</f>
        <v>8545</v>
      </c>
    </row>
    <row r="17" spans="2:5" ht="15" customHeight="1" x14ac:dyDescent="0.2">
      <c r="B17" s="13" t="s">
        <v>20</v>
      </c>
      <c r="C17" s="25">
        <f>C16/'Cucinelli Financials'!H12</f>
        <v>24.696531791907514</v>
      </c>
    </row>
    <row r="18" spans="2:5" ht="15" customHeight="1" x14ac:dyDescent="0.2">
      <c r="B18" s="15" t="s">
        <v>21</v>
      </c>
      <c r="C18" s="26">
        <f>C16/'Cucinelli Financials'!H6</f>
        <v>6.67578125</v>
      </c>
    </row>
    <row r="20" spans="2:5" ht="19.5" customHeight="1" x14ac:dyDescent="0.2">
      <c r="B20" s="6" t="s">
        <v>22</v>
      </c>
      <c r="C20" s="6"/>
      <c r="D20" s="6"/>
      <c r="E20" s="6"/>
    </row>
    <row r="21" spans="2:5" ht="18" customHeight="1" x14ac:dyDescent="0.2">
      <c r="B21" s="5" t="s">
        <v>23</v>
      </c>
      <c r="C21" s="5"/>
      <c r="D21" s="5"/>
      <c r="E21" s="5"/>
    </row>
    <row r="22" spans="2:5" ht="18" customHeight="1" x14ac:dyDescent="0.2">
      <c r="B22" s="5" t="s">
        <v>24</v>
      </c>
      <c r="C22" s="5"/>
      <c r="D22" s="5"/>
      <c r="E22" s="5"/>
    </row>
    <row r="23" spans="2:5" ht="18" customHeight="1" x14ac:dyDescent="0.2">
      <c r="B23" s="5" t="s">
        <v>25</v>
      </c>
      <c r="C23" s="5"/>
      <c r="D23" s="5"/>
      <c r="E23" s="5"/>
    </row>
    <row r="24" spans="2:5" ht="18" customHeight="1" x14ac:dyDescent="0.2">
      <c r="B24" s="5" t="s">
        <v>26</v>
      </c>
      <c r="C24" s="5"/>
      <c r="D24" s="5"/>
      <c r="E24" s="5"/>
    </row>
    <row r="25" spans="2:5" ht="18" customHeight="1" x14ac:dyDescent="0.2">
      <c r="B25" s="5" t="s">
        <v>27</v>
      </c>
      <c r="C25" s="5"/>
      <c r="D25" s="5"/>
      <c r="E25" s="5"/>
    </row>
    <row r="27" spans="2:5" ht="19.5" customHeight="1" x14ac:dyDescent="0.2">
      <c r="B27" s="6" t="s">
        <v>28</v>
      </c>
      <c r="C27" s="6"/>
      <c r="D27" s="6"/>
      <c r="E27" s="6"/>
    </row>
    <row r="28" spans="2:5" ht="15" customHeight="1" x14ac:dyDescent="0.2">
      <c r="B28" s="28" t="s">
        <v>29</v>
      </c>
      <c r="C28" s="28" t="s">
        <v>30</v>
      </c>
      <c r="D28" s="28" t="s">
        <v>31</v>
      </c>
    </row>
    <row r="29" spans="2:5" ht="15" customHeight="1" x14ac:dyDescent="0.2">
      <c r="B29" s="29" t="s">
        <v>32</v>
      </c>
      <c r="C29" s="30">
        <v>5100</v>
      </c>
      <c r="D29" s="31">
        <f>C29/$C$31</f>
        <v>0.6</v>
      </c>
    </row>
    <row r="30" spans="2:5" ht="15" customHeight="1" x14ac:dyDescent="0.2">
      <c r="B30" s="32" t="s">
        <v>33</v>
      </c>
      <c r="C30" s="33">
        <v>3400</v>
      </c>
      <c r="D30" s="34">
        <f>C30/$C$31</f>
        <v>0.4</v>
      </c>
    </row>
    <row r="31" spans="2:5" ht="15" customHeight="1" x14ac:dyDescent="0.2">
      <c r="B31" s="35" t="s">
        <v>34</v>
      </c>
      <c r="C31" s="36">
        <f>C29+C30</f>
        <v>8500</v>
      </c>
      <c r="D31" s="37">
        <f>D29+D30</f>
        <v>1</v>
      </c>
    </row>
    <row r="34" spans="1:5" ht="15" customHeight="1" x14ac:dyDescent="0.2">
      <c r="A34" s="4" t="s">
        <v>35</v>
      </c>
      <c r="B34" s="4"/>
      <c r="C34" s="4"/>
      <c r="D34" s="4"/>
      <c r="E34" s="4"/>
    </row>
  </sheetData>
  <mergeCells count="12">
    <mergeCell ref="B27:E27"/>
    <mergeCell ref="A34:E34"/>
    <mergeCell ref="B21:E21"/>
    <mergeCell ref="B22:E22"/>
    <mergeCell ref="B23:E23"/>
    <mergeCell ref="B24:E24"/>
    <mergeCell ref="B25:E25"/>
    <mergeCell ref="B2:E2"/>
    <mergeCell ref="B3:E3"/>
    <mergeCell ref="B4:E4"/>
    <mergeCell ref="B6:E6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2:I52"/>
  <sheetViews>
    <sheetView showGridLines="0" zoomScaleNormal="100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K45" sqref="K45"/>
    </sheetView>
  </sheetViews>
  <sheetFormatPr baseColWidth="10" defaultColWidth="8.6640625" defaultRowHeight="15" x14ac:dyDescent="0.2"/>
  <cols>
    <col min="1" max="1" width="2" customWidth="1"/>
    <col min="2" max="2" width="32" customWidth="1"/>
    <col min="3" max="8" width="13" customWidth="1"/>
    <col min="9" max="9" width="32" customWidth="1"/>
  </cols>
  <sheetData>
    <row r="2" spans="2:9" ht="24" customHeight="1" x14ac:dyDescent="0.2">
      <c r="B2" s="9" t="s">
        <v>36</v>
      </c>
      <c r="C2" s="9"/>
      <c r="D2" s="9"/>
      <c r="E2" s="9"/>
      <c r="F2" s="9"/>
      <c r="G2" s="9"/>
      <c r="H2" s="9"/>
    </row>
    <row r="4" spans="2:9" ht="19.5" customHeight="1" x14ac:dyDescent="0.2">
      <c r="B4" s="6" t="s">
        <v>37</v>
      </c>
      <c r="C4" s="6"/>
      <c r="D4" s="6"/>
      <c r="E4" s="6"/>
      <c r="F4" s="6"/>
      <c r="G4" s="6"/>
      <c r="H4" s="6"/>
      <c r="I4" s="6"/>
    </row>
    <row r="5" spans="2:9" ht="15" customHeight="1" x14ac:dyDescent="0.2">
      <c r="B5" s="28"/>
      <c r="C5" s="28" t="s">
        <v>38</v>
      </c>
      <c r="D5" s="28" t="s">
        <v>39</v>
      </c>
      <c r="E5" s="28" t="s">
        <v>40</v>
      </c>
      <c r="F5" s="28" t="s">
        <v>41</v>
      </c>
      <c r="G5" s="28" t="s">
        <v>42</v>
      </c>
      <c r="H5" s="28" t="s">
        <v>43</v>
      </c>
      <c r="I5" s="28" t="s">
        <v>44</v>
      </c>
    </row>
    <row r="6" spans="2:9" ht="15" customHeight="1" x14ac:dyDescent="0.2">
      <c r="B6" s="39" t="s">
        <v>45</v>
      </c>
      <c r="C6" s="40">
        <v>544</v>
      </c>
      <c r="D6" s="40">
        <v>712</v>
      </c>
      <c r="E6" s="40">
        <v>906</v>
      </c>
      <c r="F6" s="40">
        <v>1100</v>
      </c>
      <c r="G6" s="40">
        <v>1142</v>
      </c>
      <c r="H6" s="40">
        <v>1280</v>
      </c>
      <c r="I6" s="41" t="s">
        <v>46</v>
      </c>
    </row>
    <row r="7" spans="2:9" ht="15" customHeight="1" x14ac:dyDescent="0.2">
      <c r="B7" s="42" t="s">
        <v>47</v>
      </c>
      <c r="C7" s="43"/>
      <c r="D7" s="43">
        <v>0.309</v>
      </c>
      <c r="E7" s="43">
        <v>0.27200000000000002</v>
      </c>
      <c r="F7" s="43">
        <v>0.214</v>
      </c>
      <c r="G7" s="43">
        <v>3.7999999999999999E-2</v>
      </c>
      <c r="H7" s="43">
        <v>0.121</v>
      </c>
    </row>
    <row r="8" spans="2:9" ht="15" customHeight="1" x14ac:dyDescent="0.2">
      <c r="B8" s="39" t="s">
        <v>48</v>
      </c>
      <c r="C8" s="40">
        <v>163</v>
      </c>
      <c r="D8" s="40">
        <v>207</v>
      </c>
      <c r="E8" s="40">
        <v>263</v>
      </c>
      <c r="F8" s="40">
        <v>308</v>
      </c>
      <c r="G8" s="40">
        <v>314</v>
      </c>
      <c r="H8" s="40">
        <v>320</v>
      </c>
      <c r="I8" s="41" t="s">
        <v>46</v>
      </c>
    </row>
    <row r="9" spans="2:9" ht="15" customHeight="1" x14ac:dyDescent="0.2">
      <c r="B9" s="15" t="s">
        <v>49</v>
      </c>
      <c r="C9" s="44">
        <f t="shared" ref="C9:H9" si="0">C6-C8</f>
        <v>381</v>
      </c>
      <c r="D9" s="44">
        <f t="shared" si="0"/>
        <v>505</v>
      </c>
      <c r="E9" s="44">
        <f t="shared" si="0"/>
        <v>643</v>
      </c>
      <c r="F9" s="44">
        <f t="shared" si="0"/>
        <v>792</v>
      </c>
      <c r="G9" s="44">
        <f t="shared" si="0"/>
        <v>828</v>
      </c>
      <c r="H9" s="44">
        <f t="shared" si="0"/>
        <v>960</v>
      </c>
      <c r="I9" s="45" t="s">
        <v>50</v>
      </c>
    </row>
    <row r="10" spans="2:9" ht="15" customHeight="1" x14ac:dyDescent="0.2">
      <c r="B10" s="29" t="s">
        <v>51</v>
      </c>
      <c r="C10" s="46">
        <f t="shared" ref="C10:H10" si="1">C9/C6</f>
        <v>0.70036764705882348</v>
      </c>
      <c r="D10" s="46">
        <f t="shared" si="1"/>
        <v>0.7092696629213483</v>
      </c>
      <c r="E10" s="46">
        <f t="shared" si="1"/>
        <v>0.70971302428256067</v>
      </c>
      <c r="F10" s="46">
        <f t="shared" si="1"/>
        <v>0.72</v>
      </c>
      <c r="G10" s="46">
        <f t="shared" si="1"/>
        <v>0.72504378283712789</v>
      </c>
      <c r="H10" s="46">
        <f t="shared" si="1"/>
        <v>0.75</v>
      </c>
    </row>
    <row r="11" spans="2:9" ht="15" customHeight="1" x14ac:dyDescent="0.2">
      <c r="B11" s="42" t="s">
        <v>52</v>
      </c>
      <c r="C11" s="47">
        <v>250</v>
      </c>
      <c r="D11" s="47">
        <v>312</v>
      </c>
      <c r="E11" s="47">
        <v>389</v>
      </c>
      <c r="F11" s="47">
        <v>466</v>
      </c>
      <c r="G11" s="47">
        <v>476</v>
      </c>
      <c r="H11" s="47">
        <v>614</v>
      </c>
      <c r="I11" s="48" t="s">
        <v>53</v>
      </c>
    </row>
    <row r="12" spans="2:9" ht="15" customHeight="1" x14ac:dyDescent="0.2">
      <c r="B12" s="49" t="s">
        <v>54</v>
      </c>
      <c r="C12" s="50">
        <f t="shared" ref="C12:H12" si="2">C9-C11</f>
        <v>131</v>
      </c>
      <c r="D12" s="50">
        <f t="shared" si="2"/>
        <v>193</v>
      </c>
      <c r="E12" s="50">
        <f t="shared" si="2"/>
        <v>254</v>
      </c>
      <c r="F12" s="50">
        <f t="shared" si="2"/>
        <v>326</v>
      </c>
      <c r="G12" s="50">
        <f t="shared" si="2"/>
        <v>352</v>
      </c>
      <c r="H12" s="50">
        <f t="shared" si="2"/>
        <v>346</v>
      </c>
      <c r="I12" s="41" t="s">
        <v>55</v>
      </c>
    </row>
    <row r="13" spans="2:9" ht="15" customHeight="1" x14ac:dyDescent="0.2">
      <c r="B13" s="32" t="s">
        <v>56</v>
      </c>
      <c r="C13" s="51">
        <f t="shared" ref="C13:H13" si="3">C12/C6</f>
        <v>0.24080882352941177</v>
      </c>
      <c r="D13" s="51">
        <f t="shared" si="3"/>
        <v>0.2710674157303371</v>
      </c>
      <c r="E13" s="51">
        <f t="shared" si="3"/>
        <v>0.2803532008830022</v>
      </c>
      <c r="F13" s="51">
        <f t="shared" si="3"/>
        <v>0.29636363636363638</v>
      </c>
      <c r="G13" s="51">
        <f t="shared" si="3"/>
        <v>0.30823117338003503</v>
      </c>
      <c r="H13" s="51">
        <f t="shared" si="3"/>
        <v>0.27031250000000001</v>
      </c>
    </row>
    <row r="14" spans="2:9" ht="15" customHeight="1" x14ac:dyDescent="0.2">
      <c r="B14" s="39" t="s">
        <v>57</v>
      </c>
      <c r="C14" s="40">
        <v>48</v>
      </c>
      <c r="D14" s="40">
        <v>55</v>
      </c>
      <c r="E14" s="40">
        <v>65</v>
      </c>
      <c r="F14" s="40">
        <v>74</v>
      </c>
      <c r="G14" s="40">
        <v>78</v>
      </c>
      <c r="H14" s="40">
        <v>82</v>
      </c>
      <c r="I14" s="41" t="s">
        <v>58</v>
      </c>
    </row>
    <row r="15" spans="2:9" ht="15" customHeight="1" x14ac:dyDescent="0.2">
      <c r="B15" s="15" t="s">
        <v>59</v>
      </c>
      <c r="C15" s="44">
        <f t="shared" ref="C15:H15" si="4">C12-C14</f>
        <v>83</v>
      </c>
      <c r="D15" s="44">
        <f t="shared" si="4"/>
        <v>138</v>
      </c>
      <c r="E15" s="44">
        <f t="shared" si="4"/>
        <v>189</v>
      </c>
      <c r="F15" s="44">
        <f t="shared" si="4"/>
        <v>252</v>
      </c>
      <c r="G15" s="44">
        <f t="shared" si="4"/>
        <v>274</v>
      </c>
      <c r="H15" s="44">
        <f t="shared" si="4"/>
        <v>264</v>
      </c>
      <c r="I15" s="45" t="s">
        <v>60</v>
      </c>
    </row>
    <row r="16" spans="2:9" ht="15" customHeight="1" x14ac:dyDescent="0.2">
      <c r="B16" s="29" t="s">
        <v>61</v>
      </c>
      <c r="C16" s="46">
        <f t="shared" ref="C16:H16" si="5">C15/C6</f>
        <v>0.15257352941176472</v>
      </c>
      <c r="D16" s="46">
        <f t="shared" si="5"/>
        <v>0.19382022471910113</v>
      </c>
      <c r="E16" s="46">
        <f t="shared" si="5"/>
        <v>0.20860927152317882</v>
      </c>
      <c r="F16" s="46">
        <f t="shared" si="5"/>
        <v>0.2290909090909091</v>
      </c>
      <c r="G16" s="46">
        <f t="shared" si="5"/>
        <v>0.23992994746059546</v>
      </c>
      <c r="H16" s="46">
        <f t="shared" si="5"/>
        <v>0.20624999999999999</v>
      </c>
    </row>
    <row r="17" spans="2:9" ht="15" customHeight="1" x14ac:dyDescent="0.2">
      <c r="B17" s="42" t="s">
        <v>62</v>
      </c>
      <c r="C17" s="47">
        <v>8</v>
      </c>
      <c r="D17" s="47">
        <v>7</v>
      </c>
      <c r="E17" s="47">
        <v>9</v>
      </c>
      <c r="F17" s="47">
        <v>12</v>
      </c>
      <c r="G17" s="47">
        <v>11</v>
      </c>
      <c r="H17" s="47">
        <v>10</v>
      </c>
      <c r="I17" s="45" t="s">
        <v>63</v>
      </c>
    </row>
    <row r="18" spans="2:9" ht="15" customHeight="1" x14ac:dyDescent="0.2">
      <c r="B18" s="49" t="s">
        <v>64</v>
      </c>
      <c r="C18" s="50">
        <f t="shared" ref="C18:H18" si="6">C15-C17</f>
        <v>75</v>
      </c>
      <c r="D18" s="50">
        <f t="shared" si="6"/>
        <v>131</v>
      </c>
      <c r="E18" s="50">
        <f t="shared" si="6"/>
        <v>180</v>
      </c>
      <c r="F18" s="50">
        <f t="shared" si="6"/>
        <v>240</v>
      </c>
      <c r="G18" s="50">
        <f t="shared" si="6"/>
        <v>263</v>
      </c>
      <c r="H18" s="50">
        <f t="shared" si="6"/>
        <v>254</v>
      </c>
      <c r="I18" s="41" t="s">
        <v>65</v>
      </c>
    </row>
    <row r="19" spans="2:9" ht="15" customHeight="1" x14ac:dyDescent="0.2">
      <c r="B19" s="32" t="s">
        <v>66</v>
      </c>
      <c r="C19" s="52">
        <f t="shared" ref="C19:H19" si="7">C18*$C$50</f>
        <v>19.5</v>
      </c>
      <c r="D19" s="52">
        <f t="shared" si="7"/>
        <v>34.06</v>
      </c>
      <c r="E19" s="52">
        <f t="shared" si="7"/>
        <v>46.800000000000004</v>
      </c>
      <c r="F19" s="52">
        <f t="shared" si="7"/>
        <v>62.400000000000006</v>
      </c>
      <c r="G19" s="52">
        <f t="shared" si="7"/>
        <v>68.38</v>
      </c>
      <c r="H19" s="52">
        <f t="shared" si="7"/>
        <v>66.040000000000006</v>
      </c>
      <c r="I19" s="45" t="s">
        <v>67</v>
      </c>
    </row>
    <row r="20" spans="2:9" ht="15" customHeight="1" x14ac:dyDescent="0.2">
      <c r="B20" s="49" t="s">
        <v>68</v>
      </c>
      <c r="C20" s="53">
        <f t="shared" ref="C20:H20" si="8">C18-C19</f>
        <v>55.5</v>
      </c>
      <c r="D20" s="53">
        <f t="shared" si="8"/>
        <v>96.94</v>
      </c>
      <c r="E20" s="53">
        <f t="shared" si="8"/>
        <v>133.19999999999999</v>
      </c>
      <c r="F20" s="53">
        <f t="shared" si="8"/>
        <v>177.6</v>
      </c>
      <c r="G20" s="53">
        <f t="shared" si="8"/>
        <v>194.62</v>
      </c>
      <c r="H20" s="53">
        <f t="shared" si="8"/>
        <v>187.95999999999998</v>
      </c>
    </row>
    <row r="21" spans="2:9" ht="15" customHeight="1" x14ac:dyDescent="0.2">
      <c r="B21" s="32" t="s">
        <v>69</v>
      </c>
      <c r="C21" s="51">
        <f t="shared" ref="C21:H21" si="9">C20/C6</f>
        <v>0.10202205882352941</v>
      </c>
      <c r="D21" s="51">
        <f t="shared" si="9"/>
        <v>0.13615168539325842</v>
      </c>
      <c r="E21" s="51">
        <f t="shared" si="9"/>
        <v>0.14701986754966886</v>
      </c>
      <c r="F21" s="51">
        <f t="shared" si="9"/>
        <v>0.16145454545454546</v>
      </c>
      <c r="G21" s="51">
        <f t="shared" si="9"/>
        <v>0.17042031523642731</v>
      </c>
      <c r="H21" s="51">
        <f t="shared" si="9"/>
        <v>0.14684375</v>
      </c>
    </row>
    <row r="23" spans="2:9" ht="19.5" customHeight="1" x14ac:dyDescent="0.2">
      <c r="B23" s="6" t="s">
        <v>70</v>
      </c>
      <c r="C23" s="6"/>
      <c r="D23" s="6"/>
      <c r="E23" s="6"/>
      <c r="F23" s="6"/>
      <c r="G23" s="6"/>
      <c r="H23" s="6"/>
      <c r="I23" s="6"/>
    </row>
    <row r="24" spans="2:9" ht="15" customHeight="1" x14ac:dyDescent="0.2">
      <c r="B24" s="28"/>
      <c r="C24" s="28" t="s">
        <v>38</v>
      </c>
      <c r="D24" s="28" t="s">
        <v>39</v>
      </c>
      <c r="E24" s="28" t="s">
        <v>40</v>
      </c>
      <c r="F24" s="28" t="s">
        <v>41</v>
      </c>
      <c r="G24" s="28" t="s">
        <v>42</v>
      </c>
      <c r="H24" s="28" t="s">
        <v>43</v>
      </c>
      <c r="I24" s="28" t="s">
        <v>44</v>
      </c>
    </row>
    <row r="25" spans="2:9" ht="15" customHeight="1" x14ac:dyDescent="0.2">
      <c r="B25" s="15" t="s">
        <v>71</v>
      </c>
      <c r="C25" s="47">
        <v>272</v>
      </c>
      <c r="D25" s="47">
        <v>385</v>
      </c>
      <c r="E25" s="47">
        <v>535</v>
      </c>
      <c r="F25" s="47">
        <v>726</v>
      </c>
      <c r="G25" s="47">
        <v>777</v>
      </c>
      <c r="H25" s="47">
        <v>858</v>
      </c>
      <c r="I25" s="45" t="s">
        <v>72</v>
      </c>
    </row>
    <row r="26" spans="2:9" ht="15" customHeight="1" x14ac:dyDescent="0.2">
      <c r="B26" s="29" t="s">
        <v>73</v>
      </c>
      <c r="C26" s="46">
        <f t="shared" ref="C26:H26" si="10">C25/C6</f>
        <v>0.5</v>
      </c>
      <c r="D26" s="46">
        <f t="shared" si="10"/>
        <v>0.5407303370786517</v>
      </c>
      <c r="E26" s="46">
        <f t="shared" si="10"/>
        <v>0.59050772626931569</v>
      </c>
      <c r="F26" s="46">
        <f t="shared" si="10"/>
        <v>0.66</v>
      </c>
      <c r="G26" s="46">
        <f t="shared" si="10"/>
        <v>0.68038528896672501</v>
      </c>
      <c r="H26" s="46">
        <f t="shared" si="10"/>
        <v>0.67031249999999998</v>
      </c>
    </row>
    <row r="27" spans="2:9" ht="15" customHeight="1" x14ac:dyDescent="0.2">
      <c r="B27" s="15" t="s">
        <v>74</v>
      </c>
      <c r="C27" s="47">
        <v>272</v>
      </c>
      <c r="D27" s="47">
        <v>327</v>
      </c>
      <c r="E27" s="47">
        <v>371</v>
      </c>
      <c r="F27" s="47">
        <v>374</v>
      </c>
      <c r="G27" s="47">
        <v>365</v>
      </c>
      <c r="H27" s="47">
        <v>422</v>
      </c>
      <c r="I27" s="45" t="s">
        <v>72</v>
      </c>
    </row>
    <row r="28" spans="2:9" ht="15" customHeight="1" x14ac:dyDescent="0.2">
      <c r="B28" s="29" t="s">
        <v>73</v>
      </c>
      <c r="C28" s="46">
        <f t="shared" ref="C28:H28" si="11">C27/C6</f>
        <v>0.5</v>
      </c>
      <c r="D28" s="46">
        <f t="shared" si="11"/>
        <v>0.4592696629213483</v>
      </c>
      <c r="E28" s="46">
        <f t="shared" si="11"/>
        <v>0.40949227373068431</v>
      </c>
      <c r="F28" s="46">
        <f t="shared" si="11"/>
        <v>0.34</v>
      </c>
      <c r="G28" s="46">
        <f t="shared" si="11"/>
        <v>0.31961471103327493</v>
      </c>
      <c r="H28" s="46">
        <f t="shared" si="11"/>
        <v>0.32968750000000002</v>
      </c>
    </row>
    <row r="30" spans="2:9" ht="19.5" customHeight="1" x14ac:dyDescent="0.2">
      <c r="B30" s="6" t="s">
        <v>75</v>
      </c>
      <c r="C30" s="6"/>
      <c r="D30" s="6"/>
      <c r="E30" s="6"/>
      <c r="F30" s="6"/>
      <c r="G30" s="6"/>
      <c r="H30" s="6"/>
      <c r="I30" s="6"/>
    </row>
    <row r="31" spans="2:9" ht="15" customHeight="1" x14ac:dyDescent="0.2">
      <c r="B31" s="28"/>
      <c r="C31" s="28" t="s">
        <v>38</v>
      </c>
      <c r="D31" s="28" t="s">
        <v>39</v>
      </c>
      <c r="E31" s="28" t="s">
        <v>40</v>
      </c>
      <c r="F31" s="28" t="s">
        <v>41</v>
      </c>
      <c r="G31" s="28" t="s">
        <v>42</v>
      </c>
      <c r="H31" s="28" t="s">
        <v>43</v>
      </c>
      <c r="I31" s="28" t="s">
        <v>44</v>
      </c>
    </row>
    <row r="32" spans="2:9" ht="15" customHeight="1" x14ac:dyDescent="0.2">
      <c r="B32" s="29" t="s">
        <v>76</v>
      </c>
      <c r="C32" s="40">
        <v>207</v>
      </c>
      <c r="D32" s="40">
        <v>271</v>
      </c>
      <c r="E32" s="40">
        <v>344</v>
      </c>
      <c r="F32" s="40">
        <v>396</v>
      </c>
      <c r="G32" s="40">
        <v>400</v>
      </c>
      <c r="H32" s="40">
        <v>448</v>
      </c>
      <c r="I32" s="41" t="s">
        <v>72</v>
      </c>
    </row>
    <row r="33" spans="2:9" ht="15" customHeight="1" x14ac:dyDescent="0.2">
      <c r="B33" s="32" t="s">
        <v>77</v>
      </c>
      <c r="C33" s="47">
        <v>141</v>
      </c>
      <c r="D33" s="47">
        <v>192</v>
      </c>
      <c r="E33" s="47">
        <v>254</v>
      </c>
      <c r="F33" s="47">
        <v>308</v>
      </c>
      <c r="G33" s="47">
        <v>297</v>
      </c>
      <c r="H33" s="47">
        <v>333</v>
      </c>
      <c r="I33" s="45" t="s">
        <v>72</v>
      </c>
    </row>
    <row r="34" spans="2:9" ht="15" customHeight="1" x14ac:dyDescent="0.2">
      <c r="B34" s="29" t="s">
        <v>78</v>
      </c>
      <c r="C34" s="40">
        <v>196</v>
      </c>
      <c r="D34" s="40">
        <v>249</v>
      </c>
      <c r="E34" s="40">
        <v>308</v>
      </c>
      <c r="F34" s="40">
        <v>396</v>
      </c>
      <c r="G34" s="40">
        <v>445</v>
      </c>
      <c r="H34" s="40">
        <v>499</v>
      </c>
      <c r="I34" s="41" t="s">
        <v>72</v>
      </c>
    </row>
    <row r="35" spans="2:9" ht="15" customHeight="1" x14ac:dyDescent="0.2">
      <c r="B35" s="15" t="s">
        <v>79</v>
      </c>
      <c r="C35" s="54">
        <f t="shared" ref="C35:H35" si="12">C32+C33+C34</f>
        <v>544</v>
      </c>
      <c r="D35" s="54">
        <f t="shared" si="12"/>
        <v>712</v>
      </c>
      <c r="E35" s="54">
        <f t="shared" si="12"/>
        <v>906</v>
      </c>
      <c r="F35" s="54">
        <f t="shared" si="12"/>
        <v>1100</v>
      </c>
      <c r="G35" s="54">
        <f t="shared" si="12"/>
        <v>1142</v>
      </c>
      <c r="H35" s="54">
        <f t="shared" si="12"/>
        <v>1280</v>
      </c>
    </row>
    <row r="37" spans="2:9" ht="19.5" customHeight="1" x14ac:dyDescent="0.2">
      <c r="B37" s="6" t="s">
        <v>80</v>
      </c>
      <c r="C37" s="6"/>
      <c r="D37" s="6"/>
      <c r="E37" s="6"/>
      <c r="F37" s="6"/>
      <c r="G37" s="6"/>
      <c r="H37" s="6"/>
      <c r="I37" s="6"/>
    </row>
    <row r="38" spans="2:9" ht="15" customHeight="1" x14ac:dyDescent="0.2">
      <c r="B38" s="28"/>
      <c r="C38" s="28" t="s">
        <v>38</v>
      </c>
      <c r="D38" s="28" t="s">
        <v>39</v>
      </c>
      <c r="E38" s="28" t="s">
        <v>40</v>
      </c>
      <c r="F38" s="28" t="s">
        <v>41</v>
      </c>
      <c r="G38" s="28" t="s">
        <v>42</v>
      </c>
      <c r="H38" s="28" t="s">
        <v>43</v>
      </c>
    </row>
    <row r="39" spans="2:9" ht="15" customHeight="1" x14ac:dyDescent="0.2">
      <c r="B39" s="32" t="s">
        <v>81</v>
      </c>
      <c r="C39" s="47">
        <v>1200</v>
      </c>
      <c r="D39" s="47">
        <v>1380</v>
      </c>
      <c r="E39" s="47">
        <v>1600</v>
      </c>
      <c r="F39" s="47">
        <v>1850</v>
      </c>
      <c r="G39" s="47">
        <v>1920</v>
      </c>
      <c r="H39" s="47">
        <v>2050</v>
      </c>
    </row>
    <row r="40" spans="2:9" ht="15" customHeight="1" x14ac:dyDescent="0.2">
      <c r="B40" s="29" t="s">
        <v>82</v>
      </c>
      <c r="C40" s="40">
        <v>180</v>
      </c>
      <c r="D40" s="40">
        <v>160</v>
      </c>
      <c r="E40" s="40">
        <v>140</v>
      </c>
      <c r="F40" s="40">
        <v>120</v>
      </c>
      <c r="G40" s="40">
        <v>100</v>
      </c>
      <c r="H40" s="40">
        <v>95</v>
      </c>
    </row>
    <row r="41" spans="2:9" ht="15" customHeight="1" x14ac:dyDescent="0.2">
      <c r="B41" s="32" t="s">
        <v>83</v>
      </c>
      <c r="C41" s="47">
        <v>85</v>
      </c>
      <c r="D41" s="47">
        <v>70</v>
      </c>
      <c r="E41" s="47">
        <v>60</v>
      </c>
      <c r="F41" s="47">
        <v>55</v>
      </c>
      <c r="G41" s="47">
        <v>50</v>
      </c>
      <c r="H41" s="47">
        <v>50</v>
      </c>
    </row>
    <row r="42" spans="2:9" ht="15" customHeight="1" x14ac:dyDescent="0.2">
      <c r="B42" s="49" t="s">
        <v>84</v>
      </c>
      <c r="C42" s="50">
        <f t="shared" ref="C42:H42" si="13">C40-C41</f>
        <v>95</v>
      </c>
      <c r="D42" s="50">
        <f t="shared" si="13"/>
        <v>90</v>
      </c>
      <c r="E42" s="50">
        <f t="shared" si="13"/>
        <v>80</v>
      </c>
      <c r="F42" s="50">
        <f t="shared" si="13"/>
        <v>65</v>
      </c>
      <c r="G42" s="50">
        <f t="shared" si="13"/>
        <v>50</v>
      </c>
      <c r="H42" s="50">
        <f t="shared" si="13"/>
        <v>45</v>
      </c>
    </row>
    <row r="43" spans="2:9" ht="15" customHeight="1" x14ac:dyDescent="0.2">
      <c r="B43" s="32" t="s">
        <v>85</v>
      </c>
      <c r="C43" s="47">
        <v>680</v>
      </c>
      <c r="D43" s="47">
        <v>760</v>
      </c>
      <c r="E43" s="47">
        <v>870</v>
      </c>
      <c r="F43" s="47">
        <v>1020</v>
      </c>
      <c r="G43" s="47">
        <v>1180</v>
      </c>
      <c r="H43" s="47">
        <v>1340</v>
      </c>
    </row>
    <row r="45" spans="2:9" ht="19.5" customHeight="1" x14ac:dyDescent="0.2">
      <c r="B45" s="6" t="s">
        <v>86</v>
      </c>
      <c r="C45" s="6"/>
      <c r="D45" s="6"/>
      <c r="E45" s="6"/>
      <c r="F45" s="6"/>
      <c r="G45" s="6"/>
      <c r="H45" s="6"/>
      <c r="I45" s="6"/>
    </row>
    <row r="46" spans="2:9" ht="15" customHeight="1" x14ac:dyDescent="0.2">
      <c r="B46" s="28"/>
      <c r="C46" s="28" t="s">
        <v>38</v>
      </c>
      <c r="D46" s="28" t="s">
        <v>39</v>
      </c>
      <c r="E46" s="28" t="s">
        <v>40</v>
      </c>
      <c r="F46" s="28" t="s">
        <v>41</v>
      </c>
      <c r="G46" s="28" t="s">
        <v>42</v>
      </c>
      <c r="H46" s="28" t="s">
        <v>43</v>
      </c>
    </row>
    <row r="47" spans="2:9" ht="15" customHeight="1" x14ac:dyDescent="0.2">
      <c r="B47" s="32" t="s">
        <v>87</v>
      </c>
      <c r="C47" s="55">
        <f t="shared" ref="C47:H47" si="14">C42/C12</f>
        <v>0.72519083969465647</v>
      </c>
      <c r="D47" s="55">
        <f t="shared" si="14"/>
        <v>0.46632124352331605</v>
      </c>
      <c r="E47" s="55">
        <f t="shared" si="14"/>
        <v>0.31496062992125984</v>
      </c>
      <c r="F47" s="55">
        <f t="shared" si="14"/>
        <v>0.19938650306748465</v>
      </c>
      <c r="G47" s="55">
        <f t="shared" si="14"/>
        <v>0.14204545454545456</v>
      </c>
      <c r="H47" s="55">
        <f t="shared" si="14"/>
        <v>0.13005780346820808</v>
      </c>
    </row>
    <row r="48" spans="2:9" ht="15" customHeight="1" x14ac:dyDescent="0.2">
      <c r="B48" s="29" t="s">
        <v>88</v>
      </c>
      <c r="C48" s="46">
        <f t="shared" ref="C48:H48" si="15">C20/C43</f>
        <v>8.1617647058823531E-2</v>
      </c>
      <c r="D48" s="46">
        <f t="shared" si="15"/>
        <v>0.12755263157894736</v>
      </c>
      <c r="E48" s="46">
        <f t="shared" si="15"/>
        <v>0.15310344827586206</v>
      </c>
      <c r="F48" s="46">
        <f t="shared" si="15"/>
        <v>0.17411764705882352</v>
      </c>
      <c r="G48" s="46">
        <f t="shared" si="15"/>
        <v>0.1649322033898305</v>
      </c>
      <c r="H48" s="46">
        <f t="shared" si="15"/>
        <v>0.14026865671641789</v>
      </c>
    </row>
    <row r="49" spans="1:9" ht="15" customHeight="1" x14ac:dyDescent="0.2">
      <c r="B49" s="32" t="s">
        <v>89</v>
      </c>
      <c r="C49" s="52">
        <f t="shared" ref="C49:H49" si="16">C6*0.07</f>
        <v>38.080000000000005</v>
      </c>
      <c r="D49" s="52">
        <f t="shared" si="16"/>
        <v>49.84</v>
      </c>
      <c r="E49" s="52">
        <f t="shared" si="16"/>
        <v>63.420000000000009</v>
      </c>
      <c r="F49" s="52">
        <f t="shared" si="16"/>
        <v>77.000000000000014</v>
      </c>
      <c r="G49" s="52">
        <f t="shared" si="16"/>
        <v>79.940000000000012</v>
      </c>
      <c r="H49" s="52">
        <f t="shared" si="16"/>
        <v>89.600000000000009</v>
      </c>
    </row>
    <row r="50" spans="1:9" ht="15" customHeight="1" x14ac:dyDescent="0.2">
      <c r="B50" s="56" t="s">
        <v>90</v>
      </c>
      <c r="C50" s="57">
        <v>0.26</v>
      </c>
      <c r="I50" s="58" t="s">
        <v>91</v>
      </c>
    </row>
    <row r="52" spans="1:9" ht="15" customHeight="1" x14ac:dyDescent="0.2">
      <c r="A52" s="4" t="s">
        <v>35</v>
      </c>
      <c r="B52" s="4"/>
      <c r="C52" s="4"/>
      <c r="D52" s="4"/>
      <c r="E52" s="4"/>
      <c r="F52" s="4"/>
      <c r="G52" s="4"/>
      <c r="H52" s="4"/>
      <c r="I52" s="4"/>
    </row>
  </sheetData>
  <mergeCells count="7">
    <mergeCell ref="B45:I45"/>
    <mergeCell ref="A52:I52"/>
    <mergeCell ref="B2:H2"/>
    <mergeCell ref="B4:I4"/>
    <mergeCell ref="B23:I23"/>
    <mergeCell ref="B30:I30"/>
    <mergeCell ref="B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2:H42"/>
  <sheetViews>
    <sheetView showGridLines="0" zoomScaleNormal="100" workbookViewId="0">
      <pane xSplit="2" ySplit="5" topLeftCell="C3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7" width="13" customWidth="1"/>
    <col min="8" max="8" width="34" customWidth="1"/>
  </cols>
  <sheetData>
    <row r="2" spans="2:8" ht="24" customHeight="1" x14ac:dyDescent="0.2">
      <c r="B2" s="9" t="s">
        <v>92</v>
      </c>
      <c r="C2" s="9"/>
      <c r="D2" s="9"/>
      <c r="E2" s="9"/>
      <c r="F2" s="9"/>
      <c r="G2" s="9"/>
    </row>
    <row r="4" spans="2:8" ht="19.5" customHeight="1" x14ac:dyDescent="0.2">
      <c r="B4" s="6" t="s">
        <v>93</v>
      </c>
      <c r="C4" s="6"/>
      <c r="D4" s="6"/>
      <c r="E4" s="6"/>
      <c r="F4" s="6"/>
      <c r="G4" s="6"/>
      <c r="H4" s="6"/>
    </row>
    <row r="5" spans="2:8" ht="15" customHeight="1" x14ac:dyDescent="0.2">
      <c r="B5" s="28" t="s">
        <v>94</v>
      </c>
      <c r="C5" s="28" t="s">
        <v>95</v>
      </c>
      <c r="D5" s="28" t="s">
        <v>96</v>
      </c>
      <c r="E5" s="28" t="s">
        <v>97</v>
      </c>
      <c r="F5" s="28" t="s">
        <v>98</v>
      </c>
      <c r="G5" s="28" t="s">
        <v>99</v>
      </c>
      <c r="H5" s="28" t="s">
        <v>100</v>
      </c>
    </row>
    <row r="6" spans="2:8" ht="18.75" customHeight="1" x14ac:dyDescent="0.2">
      <c r="B6" s="59" t="s">
        <v>101</v>
      </c>
      <c r="C6" s="60">
        <v>0.1</v>
      </c>
      <c r="D6" s="60">
        <v>0.09</v>
      </c>
      <c r="E6" s="60">
        <v>0.08</v>
      </c>
      <c r="F6" s="60">
        <v>7.0000000000000007E-2</v>
      </c>
      <c r="G6" s="60">
        <v>0.06</v>
      </c>
      <c r="H6" s="61" t="s">
        <v>102</v>
      </c>
    </row>
    <row r="7" spans="2:8" ht="15" customHeight="1" x14ac:dyDescent="0.2">
      <c r="B7" s="59" t="s">
        <v>103</v>
      </c>
      <c r="C7" s="60">
        <v>0.755</v>
      </c>
      <c r="D7" s="60">
        <v>0.76</v>
      </c>
      <c r="E7" s="60">
        <v>0.76500000000000001</v>
      </c>
      <c r="F7" s="60">
        <v>0.77</v>
      </c>
      <c r="G7" s="60">
        <v>0.77</v>
      </c>
      <c r="H7" s="61" t="s">
        <v>104</v>
      </c>
    </row>
    <row r="8" spans="2:8" ht="15" customHeight="1" x14ac:dyDescent="0.2">
      <c r="B8" s="59" t="s">
        <v>105</v>
      </c>
      <c r="C8" s="60">
        <v>0.28000000000000003</v>
      </c>
      <c r="D8" s="60">
        <v>0.28499999999999998</v>
      </c>
      <c r="E8" s="60">
        <v>0.28999999999999998</v>
      </c>
      <c r="F8" s="60">
        <v>0.29499999999999998</v>
      </c>
      <c r="G8" s="60">
        <v>0.3</v>
      </c>
      <c r="H8" s="61" t="s">
        <v>106</v>
      </c>
    </row>
    <row r="9" spans="2:8" ht="18.75" customHeight="1" x14ac:dyDescent="0.2">
      <c r="B9" s="59" t="s">
        <v>107</v>
      </c>
      <c r="C9" s="60">
        <v>6.3E-2</v>
      </c>
      <c r="D9" s="60">
        <v>6.2E-2</v>
      </c>
      <c r="E9" s="60">
        <v>6.0999999999999999E-2</v>
      </c>
      <c r="F9" s="60">
        <v>0.06</v>
      </c>
      <c r="G9" s="60">
        <v>0.06</v>
      </c>
      <c r="H9" s="61" t="s">
        <v>108</v>
      </c>
    </row>
    <row r="10" spans="2:8" ht="15" customHeight="1" x14ac:dyDescent="0.2">
      <c r="B10" s="59" t="s">
        <v>109</v>
      </c>
      <c r="C10" s="60">
        <v>7.0000000000000007E-2</v>
      </c>
      <c r="D10" s="60">
        <v>7.0000000000000007E-2</v>
      </c>
      <c r="E10" s="60">
        <v>6.5000000000000002E-2</v>
      </c>
      <c r="F10" s="60">
        <v>6.5000000000000002E-2</v>
      </c>
      <c r="G10" s="60">
        <v>0.06</v>
      </c>
      <c r="H10" s="61" t="s">
        <v>110</v>
      </c>
    </row>
    <row r="11" spans="2:8" ht="15" customHeight="1" x14ac:dyDescent="0.2">
      <c r="B11" s="59" t="s">
        <v>111</v>
      </c>
      <c r="C11" s="60">
        <v>0.05</v>
      </c>
      <c r="D11" s="60">
        <v>0.05</v>
      </c>
      <c r="E11" s="60">
        <v>0.05</v>
      </c>
      <c r="F11" s="60">
        <v>0.05</v>
      </c>
      <c r="G11" s="60">
        <v>0.05</v>
      </c>
      <c r="H11" s="61" t="s">
        <v>112</v>
      </c>
    </row>
    <row r="12" spans="2:8" ht="18.75" customHeight="1" x14ac:dyDescent="0.2">
      <c r="B12" s="59" t="s">
        <v>113</v>
      </c>
      <c r="C12" s="60">
        <v>0.26</v>
      </c>
      <c r="D12" s="60">
        <v>0.26</v>
      </c>
      <c r="E12" s="60">
        <v>0.26</v>
      </c>
      <c r="F12" s="60">
        <v>0.26</v>
      </c>
      <c r="G12" s="60">
        <v>0.26</v>
      </c>
      <c r="H12" s="61" t="s">
        <v>114</v>
      </c>
    </row>
    <row r="13" spans="2:8" ht="15" customHeight="1" x14ac:dyDescent="0.2">
      <c r="B13" t="s">
        <v>115</v>
      </c>
      <c r="C13" s="62">
        <v>10.5</v>
      </c>
      <c r="D13" s="62">
        <v>11</v>
      </c>
      <c r="E13" s="62">
        <v>11.5</v>
      </c>
      <c r="F13" s="62">
        <v>12</v>
      </c>
      <c r="G13" s="62">
        <v>12.5</v>
      </c>
      <c r="H13" s="63" t="s">
        <v>116</v>
      </c>
    </row>
    <row r="14" spans="2:8" ht="19.5" customHeight="1" x14ac:dyDescent="0.2">
      <c r="B14" s="3"/>
      <c r="C14" s="3"/>
      <c r="D14" s="3"/>
      <c r="E14" s="3"/>
      <c r="F14" s="3"/>
      <c r="G14" s="3"/>
      <c r="H14" s="3"/>
    </row>
    <row r="15" spans="2:8" ht="15" customHeight="1" x14ac:dyDescent="0.2">
      <c r="B15" s="12" t="s">
        <v>117</v>
      </c>
      <c r="C15" s="64"/>
      <c r="D15" s="64"/>
      <c r="E15" s="64"/>
      <c r="F15" s="64"/>
      <c r="G15" s="64"/>
      <c r="H15" s="64"/>
    </row>
    <row r="16" spans="2:8" ht="15" customHeight="1" x14ac:dyDescent="0.2">
      <c r="B16" s="28"/>
      <c r="C16" s="28" t="s">
        <v>95</v>
      </c>
      <c r="D16" s="28" t="s">
        <v>96</v>
      </c>
      <c r="E16" s="28" t="s">
        <v>97</v>
      </c>
      <c r="F16" s="28" t="s">
        <v>98</v>
      </c>
      <c r="G16" s="28" t="s">
        <v>99</v>
      </c>
    </row>
    <row r="17" spans="2:8" ht="15" customHeight="1" x14ac:dyDescent="0.2">
      <c r="B17" s="49" t="s">
        <v>45</v>
      </c>
      <c r="C17" s="50">
        <f>'Cucinelli Financials'!H6*(1+C6)</f>
        <v>1408</v>
      </c>
      <c r="D17" s="50">
        <f>C17*(1+D6)</f>
        <v>1534.72</v>
      </c>
      <c r="E17" s="50">
        <f>D17*(1+E6)</f>
        <v>1657.4976000000001</v>
      </c>
      <c r="F17" s="50">
        <f>E17*(1+F6)</f>
        <v>1773.5224320000002</v>
      </c>
      <c r="G17" s="50">
        <f>F17*(1+G6)</f>
        <v>1879.9337779200002</v>
      </c>
    </row>
    <row r="18" spans="2:8" ht="15" customHeight="1" x14ac:dyDescent="0.2">
      <c r="B18" s="32" t="s">
        <v>47</v>
      </c>
      <c r="C18" s="51">
        <f>C6</f>
        <v>0.1</v>
      </c>
      <c r="D18" s="51">
        <f>D6</f>
        <v>0.09</v>
      </c>
      <c r="E18" s="51">
        <f>E6</f>
        <v>0.08</v>
      </c>
      <c r="F18" s="51">
        <f>F6</f>
        <v>7.0000000000000007E-2</v>
      </c>
      <c r="G18" s="51">
        <f>G6</f>
        <v>0.06</v>
      </c>
    </row>
    <row r="19" spans="2:8" ht="15" customHeight="1" x14ac:dyDescent="0.2">
      <c r="B19" s="49" t="s">
        <v>49</v>
      </c>
      <c r="C19" s="50">
        <f>C17*C7</f>
        <v>1063.04</v>
      </c>
      <c r="D19" s="50">
        <f>D17*D7</f>
        <v>1166.3872000000001</v>
      </c>
      <c r="E19" s="50">
        <f>E17*E7</f>
        <v>1267.985664</v>
      </c>
      <c r="F19" s="50">
        <f>F17*F7</f>
        <v>1365.6122726400001</v>
      </c>
      <c r="G19" s="50">
        <f>G17*G7</f>
        <v>1447.5490089984003</v>
      </c>
    </row>
    <row r="20" spans="2:8" ht="15" customHeight="1" x14ac:dyDescent="0.2">
      <c r="B20" s="32" t="s">
        <v>51</v>
      </c>
      <c r="C20" s="51">
        <f>C7</f>
        <v>0.755</v>
      </c>
      <c r="D20" s="51">
        <f>D7</f>
        <v>0.76</v>
      </c>
      <c r="E20" s="51">
        <f>E7</f>
        <v>0.76500000000000001</v>
      </c>
      <c r="F20" s="51">
        <f>F7</f>
        <v>0.77</v>
      </c>
      <c r="G20" s="51">
        <f>G7</f>
        <v>0.77</v>
      </c>
    </row>
    <row r="21" spans="2:8" ht="15" customHeight="1" x14ac:dyDescent="0.2">
      <c r="B21" s="49" t="s">
        <v>54</v>
      </c>
      <c r="C21" s="50">
        <f>C17*C8</f>
        <v>394.24</v>
      </c>
      <c r="D21" s="50">
        <f>D17*D8</f>
        <v>437.39519999999999</v>
      </c>
      <c r="E21" s="50">
        <f>E17*E8</f>
        <v>480.67430400000001</v>
      </c>
      <c r="F21" s="50">
        <f>F17*F8</f>
        <v>523.18911744000002</v>
      </c>
      <c r="G21" s="50">
        <f>G17*G8</f>
        <v>563.98013337600003</v>
      </c>
    </row>
    <row r="22" spans="2:8" ht="15" customHeight="1" x14ac:dyDescent="0.2">
      <c r="B22" s="32" t="s">
        <v>56</v>
      </c>
      <c r="C22" s="51">
        <f>C8</f>
        <v>0.28000000000000003</v>
      </c>
      <c r="D22" s="51">
        <f>D8</f>
        <v>0.28499999999999998</v>
      </c>
      <c r="E22" s="51">
        <f>E8</f>
        <v>0.28999999999999998</v>
      </c>
      <c r="F22" s="51">
        <f>F8</f>
        <v>0.29499999999999998</v>
      </c>
      <c r="G22" s="51">
        <f>G8</f>
        <v>0.3</v>
      </c>
    </row>
    <row r="23" spans="2:8" ht="15" customHeight="1" x14ac:dyDescent="0.2">
      <c r="B23" s="29" t="s">
        <v>57</v>
      </c>
      <c r="C23" s="65">
        <f>C17*C9</f>
        <v>88.704000000000008</v>
      </c>
      <c r="D23" s="65">
        <f>D17*D9</f>
        <v>95.152640000000005</v>
      </c>
      <c r="E23" s="65">
        <f>E17*E9</f>
        <v>101.10735360000001</v>
      </c>
      <c r="F23" s="65">
        <f>F17*F9</f>
        <v>106.41134592</v>
      </c>
      <c r="G23" s="65">
        <f>G17*G9</f>
        <v>112.79602667520001</v>
      </c>
    </row>
    <row r="24" spans="2:8" ht="15" customHeight="1" x14ac:dyDescent="0.2">
      <c r="B24" s="15" t="s">
        <v>59</v>
      </c>
      <c r="C24" s="44">
        <f>C21-C23</f>
        <v>305.536</v>
      </c>
      <c r="D24" s="44">
        <f>D21-D23</f>
        <v>342.24255999999997</v>
      </c>
      <c r="E24" s="44">
        <f>E21-E23</f>
        <v>379.5669504</v>
      </c>
      <c r="F24" s="44">
        <f>F21-F23</f>
        <v>416.77777151999999</v>
      </c>
      <c r="G24" s="44">
        <f>G21-G23</f>
        <v>451.18410670080004</v>
      </c>
    </row>
    <row r="25" spans="2:8" ht="15" customHeight="1" x14ac:dyDescent="0.2">
      <c r="B25" s="29" t="s">
        <v>61</v>
      </c>
      <c r="C25" s="46">
        <f>C24/C17</f>
        <v>0.217</v>
      </c>
      <c r="D25" s="46">
        <f>D24/D17</f>
        <v>0.22299999999999998</v>
      </c>
      <c r="E25" s="46">
        <f>E24/E17</f>
        <v>0.22899999999999998</v>
      </c>
      <c r="F25" s="46">
        <f>F24/F17</f>
        <v>0.23499999999999996</v>
      </c>
      <c r="G25" s="46">
        <f>G24/G17</f>
        <v>0.24</v>
      </c>
    </row>
    <row r="26" spans="2:8" ht="15" customHeight="1" x14ac:dyDescent="0.2">
      <c r="B26" t="s">
        <v>62</v>
      </c>
      <c r="C26">
        <f>C13</f>
        <v>10.5</v>
      </c>
      <c r="D26">
        <f>D13</f>
        <v>11</v>
      </c>
      <c r="E26">
        <f>E13</f>
        <v>11.5</v>
      </c>
      <c r="F26">
        <f>F13</f>
        <v>12</v>
      </c>
      <c r="G26">
        <f>G13</f>
        <v>12.5</v>
      </c>
    </row>
    <row r="27" spans="2:8" ht="19.5" customHeight="1" x14ac:dyDescent="0.2">
      <c r="B27" t="s">
        <v>64</v>
      </c>
      <c r="C27">
        <f>C24-C26</f>
        <v>295.036</v>
      </c>
      <c r="D27">
        <f>D24-D26</f>
        <v>331.24255999999997</v>
      </c>
      <c r="E27">
        <f>E24-E26</f>
        <v>368.0669504</v>
      </c>
      <c r="F27">
        <f>F24-F26</f>
        <v>404.77777151999999</v>
      </c>
      <c r="G27">
        <f>G24-G26</f>
        <v>438.68410670080004</v>
      </c>
    </row>
    <row r="28" spans="2:8" ht="15" customHeight="1" x14ac:dyDescent="0.2">
      <c r="B28" t="s">
        <v>118</v>
      </c>
      <c r="C28">
        <f>C27*$C$12</f>
        <v>76.709360000000004</v>
      </c>
      <c r="D28">
        <f>D27*$C$12</f>
        <v>86.12306559999999</v>
      </c>
      <c r="E28">
        <f>E27*$C$12</f>
        <v>95.697407104000007</v>
      </c>
      <c r="F28">
        <f>F27*$C$12</f>
        <v>105.2422205952</v>
      </c>
      <c r="G28">
        <f>G27*$C$12</f>
        <v>114.05786774220802</v>
      </c>
    </row>
    <row r="29" spans="2:8" ht="15" customHeight="1" x14ac:dyDescent="0.2">
      <c r="B29" s="66" t="s">
        <v>68</v>
      </c>
      <c r="C29" s="54">
        <f>C27-C28</f>
        <v>218.32664</v>
      </c>
      <c r="D29" s="54">
        <f>D27-D28</f>
        <v>245.11949439999998</v>
      </c>
      <c r="E29" s="54">
        <f>E27-E28</f>
        <v>272.36954329599996</v>
      </c>
      <c r="F29" s="54">
        <f>F27-F28</f>
        <v>299.53555092479996</v>
      </c>
      <c r="G29" s="54">
        <f>G27-G28</f>
        <v>324.62623895859201</v>
      </c>
    </row>
    <row r="30" spans="2:8" ht="15" customHeight="1" x14ac:dyDescent="0.2"/>
    <row r="31" spans="2:8" ht="15" customHeight="1" x14ac:dyDescent="0.2">
      <c r="B31" s="12" t="s">
        <v>119</v>
      </c>
      <c r="C31" s="64"/>
      <c r="D31" s="64"/>
      <c r="E31" s="64"/>
      <c r="F31" s="64"/>
      <c r="G31" s="64"/>
      <c r="H31" s="64"/>
    </row>
    <row r="32" spans="2:8" ht="15" customHeight="1" x14ac:dyDescent="0.2">
      <c r="B32" s="28"/>
      <c r="C32" s="28" t="s">
        <v>95</v>
      </c>
      <c r="D32" s="28" t="s">
        <v>96</v>
      </c>
      <c r="E32" s="28" t="s">
        <v>97</v>
      </c>
      <c r="F32" s="28" t="s">
        <v>98</v>
      </c>
      <c r="G32" s="28" t="s">
        <v>99</v>
      </c>
    </row>
    <row r="33" spans="1:7" ht="15" customHeight="1" x14ac:dyDescent="0.2">
      <c r="B33" s="67" t="s">
        <v>59</v>
      </c>
      <c r="C33" s="68">
        <f>C24</f>
        <v>305.536</v>
      </c>
      <c r="D33" s="68">
        <f>D24</f>
        <v>342.24255999999997</v>
      </c>
      <c r="E33" s="68">
        <f>E24</f>
        <v>379.5669504</v>
      </c>
      <c r="F33" s="68">
        <f>F24</f>
        <v>416.77777151999999</v>
      </c>
      <c r="G33" s="68">
        <f>G24</f>
        <v>451.18410670080004</v>
      </c>
    </row>
    <row r="34" spans="1:7" ht="15" customHeight="1" x14ac:dyDescent="0.2">
      <c r="B34" s="29" t="s">
        <v>120</v>
      </c>
      <c r="C34" s="65">
        <f>C33*$C$12</f>
        <v>79.439360000000008</v>
      </c>
      <c r="D34" s="65">
        <f>D33*$C$12</f>
        <v>88.983065599999989</v>
      </c>
      <c r="E34" s="65">
        <f>E33*$C$12</f>
        <v>98.687407104000002</v>
      </c>
      <c r="F34" s="65">
        <f>F33*$C$12</f>
        <v>108.3622205952</v>
      </c>
      <c r="G34" s="65">
        <f>G33*$C$12</f>
        <v>117.30786774220802</v>
      </c>
    </row>
    <row r="35" spans="1:7" ht="15" customHeight="1" x14ac:dyDescent="0.2">
      <c r="B35" s="15" t="s">
        <v>121</v>
      </c>
      <c r="C35" s="44">
        <f>C33-C34</f>
        <v>226.09663999999998</v>
      </c>
      <c r="D35" s="44">
        <f>D33-D34</f>
        <v>253.25949439999999</v>
      </c>
      <c r="E35" s="44">
        <f>E33-E34</f>
        <v>280.87954329600001</v>
      </c>
      <c r="F35" s="44">
        <f>F33-F34</f>
        <v>308.41555092479996</v>
      </c>
      <c r="G35" s="44">
        <f>G33-G34</f>
        <v>333.87623895859201</v>
      </c>
    </row>
    <row r="36" spans="1:7" ht="15" customHeight="1" x14ac:dyDescent="0.2">
      <c r="B36" s="69" t="s">
        <v>122</v>
      </c>
      <c r="C36" s="70">
        <f>C23</f>
        <v>88.704000000000008</v>
      </c>
      <c r="D36" s="70">
        <f>D23</f>
        <v>95.152640000000005</v>
      </c>
      <c r="E36" s="70">
        <f>E23</f>
        <v>101.10735360000001</v>
      </c>
      <c r="F36" s="70">
        <f>F23</f>
        <v>106.41134592</v>
      </c>
      <c r="G36" s="70">
        <f>G23</f>
        <v>112.79602667520001</v>
      </c>
    </row>
    <row r="37" spans="1:7" ht="15" customHeight="1" x14ac:dyDescent="0.2">
      <c r="B37" s="32" t="s">
        <v>123</v>
      </c>
      <c r="C37" s="52">
        <f>C17*C10</f>
        <v>98.56</v>
      </c>
      <c r="D37" s="52">
        <f>D17*D10</f>
        <v>107.43040000000001</v>
      </c>
      <c r="E37" s="52">
        <f>E17*E10</f>
        <v>107.73734400000001</v>
      </c>
      <c r="F37" s="52">
        <f>F17*F10</f>
        <v>115.27895808000002</v>
      </c>
      <c r="G37" s="52">
        <f>G17*G10</f>
        <v>112.79602667520001</v>
      </c>
    </row>
    <row r="38" spans="1:7" ht="15" customHeight="1" x14ac:dyDescent="0.2">
      <c r="B38" t="s">
        <v>124</v>
      </c>
      <c r="C38">
        <f>(C17-'Cucinelli Financials'!H6)*$C$11</f>
        <v>6.4</v>
      </c>
      <c r="D38">
        <f>(D17-C17)*$D$11</f>
        <v>6.3360000000000021</v>
      </c>
      <c r="E38">
        <f>(E17-D17)*$E$11</f>
        <v>6.1388800000000066</v>
      </c>
      <c r="F38">
        <f>(F17-E17)*$F$11</f>
        <v>5.8012416000000036</v>
      </c>
      <c r="G38">
        <f>(G17-F17)*$G$11</f>
        <v>5.3205672960000019</v>
      </c>
    </row>
    <row r="39" spans="1:7" ht="15" customHeight="1" x14ac:dyDescent="0.2">
      <c r="B39" s="35" t="s">
        <v>125</v>
      </c>
      <c r="C39" s="71">
        <f>C35+C36-C37-C38</f>
        <v>209.84063999999998</v>
      </c>
      <c r="D39" s="71">
        <f>D35+D36-D37-D38</f>
        <v>234.64573439999998</v>
      </c>
      <c r="E39" s="71">
        <f>E35+E36-E37-E38</f>
        <v>268.11067289599998</v>
      </c>
      <c r="F39" s="71">
        <f>F35+F36-F37-F38</f>
        <v>293.74669716479991</v>
      </c>
      <c r="G39" s="71">
        <f>G35+G36-G37-G38</f>
        <v>328.55567166259203</v>
      </c>
    </row>
    <row r="42" spans="1:7" ht="360" customHeight="1" x14ac:dyDescent="0.2">
      <c r="A42" s="38" t="s">
        <v>35</v>
      </c>
    </row>
  </sheetData>
  <mergeCells count="3">
    <mergeCell ref="B2:G2"/>
    <mergeCell ref="B4:H4"/>
    <mergeCell ref="B14:H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B3A"/>
  </sheetPr>
  <dimension ref="A2:H66"/>
  <sheetViews>
    <sheetView showGridLines="0" zoomScaleNormal="100" workbookViewId="0">
      <pane xSplit="2" ySplit="4" topLeftCell="C4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" customWidth="1"/>
    <col min="2" max="2" width="44" customWidth="1"/>
    <col min="3" max="8" width="16" customWidth="1"/>
  </cols>
  <sheetData>
    <row r="2" spans="2:7" ht="24" customHeight="1" x14ac:dyDescent="0.2">
      <c r="B2" s="9" t="s">
        <v>126</v>
      </c>
      <c r="C2" s="9"/>
      <c r="D2" s="9"/>
      <c r="E2" s="9"/>
      <c r="F2" s="9"/>
      <c r="G2" s="9"/>
    </row>
    <row r="4" spans="2:7" ht="19.5" customHeight="1" x14ac:dyDescent="0.2">
      <c r="B4" s="6" t="s">
        <v>127</v>
      </c>
      <c r="C4" s="6"/>
      <c r="D4" s="6"/>
      <c r="E4" s="6"/>
      <c r="F4" s="6"/>
      <c r="G4" s="6"/>
    </row>
    <row r="5" spans="2:7" ht="15" customHeight="1" x14ac:dyDescent="0.2">
      <c r="B5" s="59" t="s">
        <v>128</v>
      </c>
      <c r="C5" s="72">
        <v>3.5000000000000003E-2</v>
      </c>
      <c r="D5" s="18" t="s">
        <v>129</v>
      </c>
    </row>
    <row r="6" spans="2:7" ht="18.75" customHeight="1" x14ac:dyDescent="0.2">
      <c r="B6" s="59" t="s">
        <v>130</v>
      </c>
      <c r="C6" s="72">
        <v>5.5E-2</v>
      </c>
      <c r="D6" s="18" t="s">
        <v>131</v>
      </c>
    </row>
    <row r="7" spans="2:7" ht="18.75" customHeight="1" x14ac:dyDescent="0.2">
      <c r="B7" s="59" t="s">
        <v>132</v>
      </c>
      <c r="C7" s="73">
        <v>0.95</v>
      </c>
      <c r="D7" s="18" t="s">
        <v>133</v>
      </c>
    </row>
    <row r="8" spans="2:7" ht="15" customHeight="1" x14ac:dyDescent="0.2">
      <c r="B8" s="15" t="s">
        <v>134</v>
      </c>
      <c r="C8" s="74">
        <f>C5+C7*C6</f>
        <v>8.7249999999999994E-2</v>
      </c>
      <c r="D8" s="18" t="s">
        <v>135</v>
      </c>
    </row>
    <row r="9" spans="2:7" ht="18.75" customHeight="1" x14ac:dyDescent="0.2">
      <c r="B9" s="59" t="s">
        <v>136</v>
      </c>
      <c r="C9" s="72">
        <v>4.4999999999999998E-2</v>
      </c>
      <c r="D9" s="18" t="s">
        <v>137</v>
      </c>
    </row>
    <row r="10" spans="2:7" ht="18.75" customHeight="1" x14ac:dyDescent="0.2">
      <c r="B10" s="59" t="s">
        <v>113</v>
      </c>
      <c r="C10" s="60">
        <v>0.26</v>
      </c>
      <c r="D10" s="18" t="s">
        <v>138</v>
      </c>
    </row>
    <row r="11" spans="2:7" ht="15" customHeight="1" x14ac:dyDescent="0.2">
      <c r="B11" s="15" t="s">
        <v>139</v>
      </c>
      <c r="C11" s="74">
        <f>C9*(1-C10)</f>
        <v>3.3299999999999996E-2</v>
      </c>
    </row>
    <row r="12" spans="2:7" ht="18.75" customHeight="1" x14ac:dyDescent="0.2">
      <c r="B12" s="59" t="s">
        <v>140</v>
      </c>
      <c r="C12" s="60">
        <v>3.4000000000000002E-2</v>
      </c>
      <c r="D12" s="18" t="s">
        <v>141</v>
      </c>
      <c r="E12" s="63" t="s">
        <v>142</v>
      </c>
    </row>
    <row r="13" spans="2:7" ht="15" customHeight="1" x14ac:dyDescent="0.2">
      <c r="B13" s="15" t="s">
        <v>143</v>
      </c>
      <c r="C13" s="20">
        <f>1-C12</f>
        <v>0.96599999999999997</v>
      </c>
    </row>
    <row r="14" spans="2:7" ht="15" customHeight="1" x14ac:dyDescent="0.2">
      <c r="B14" s="35" t="s">
        <v>144</v>
      </c>
      <c r="C14" s="75">
        <f>C8*C13+C11*C12</f>
        <v>8.5415699999999997E-2</v>
      </c>
    </row>
    <row r="16" spans="2:7" ht="19.5" customHeight="1" x14ac:dyDescent="0.2">
      <c r="B16" s="6" t="s">
        <v>145</v>
      </c>
      <c r="C16" s="6"/>
      <c r="D16" s="6"/>
      <c r="E16" s="6"/>
      <c r="F16" s="6"/>
      <c r="G16" s="6"/>
    </row>
    <row r="17" spans="2:8" ht="15" customHeight="1" x14ac:dyDescent="0.2">
      <c r="B17" s="28"/>
      <c r="C17" s="28" t="s">
        <v>95</v>
      </c>
      <c r="D17" s="28" t="s">
        <v>96</v>
      </c>
      <c r="E17" s="28" t="s">
        <v>97</v>
      </c>
      <c r="F17" s="28" t="s">
        <v>98</v>
      </c>
      <c r="G17" s="28" t="s">
        <v>99</v>
      </c>
    </row>
    <row r="18" spans="2:8" ht="15" customHeight="1" x14ac:dyDescent="0.2">
      <c r="B18" s="69" t="s">
        <v>146</v>
      </c>
      <c r="C18" s="76">
        <f>Projections!C39</f>
        <v>209.84063999999998</v>
      </c>
      <c r="D18" s="76">
        <f>Projections!D39</f>
        <v>234.64573439999998</v>
      </c>
      <c r="E18" s="76">
        <f>Projections!E39</f>
        <v>268.11067289599998</v>
      </c>
      <c r="F18" s="76">
        <f>Projections!F39</f>
        <v>293.74669716479991</v>
      </c>
      <c r="G18" s="76">
        <f>Projections!G39</f>
        <v>328.55567166259203</v>
      </c>
    </row>
    <row r="19" spans="2:8" ht="15" customHeight="1" x14ac:dyDescent="0.2">
      <c r="B19" s="32" t="s">
        <v>147</v>
      </c>
      <c r="C19" s="77">
        <f>1/(1+$C$14)^0.5</f>
        <v>0.9598468642716812</v>
      </c>
      <c r="D19" s="77">
        <f>1/(1+$C$14)^1.5</f>
        <v>0.8843126778723408</v>
      </c>
      <c r="E19" s="77">
        <f>1/(1+$C$14)^2.5</f>
        <v>0.81472257852207286</v>
      </c>
      <c r="F19" s="77">
        <f>1/(1+$C$14)^3.5</f>
        <v>0.75060880225159154</v>
      </c>
      <c r="G19" s="77">
        <f>1/(1+$C$14)^4.5</f>
        <v>0.69154039530807554</v>
      </c>
      <c r="H19" s="63" t="s">
        <v>148</v>
      </c>
    </row>
    <row r="20" spans="2:8" ht="15" customHeight="1" x14ac:dyDescent="0.2">
      <c r="B20" s="49" t="s">
        <v>149</v>
      </c>
      <c r="C20" s="78">
        <f>C18*C19</f>
        <v>201.41488030076269</v>
      </c>
      <c r="D20" s="78">
        <f>D18*D19</f>
        <v>207.50019773858602</v>
      </c>
      <c r="E20" s="78">
        <f>E18*E19</f>
        <v>218.43581875111713</v>
      </c>
      <c r="F20" s="78">
        <f>F18*F19</f>
        <v>220.48885652423144</v>
      </c>
      <c r="G20" s="78">
        <f>G18*G19</f>
        <v>227.20951906225918</v>
      </c>
    </row>
    <row r="21" spans="2:8" ht="15" customHeight="1" x14ac:dyDescent="0.2">
      <c r="B21" s="35" t="s">
        <v>150</v>
      </c>
      <c r="C21" s="36">
        <f>SUM(C20:G20)</f>
        <v>1075.0492723769564</v>
      </c>
    </row>
    <row r="23" spans="2:8" ht="19.5" customHeight="1" x14ac:dyDescent="0.2">
      <c r="B23" s="6" t="s">
        <v>151</v>
      </c>
      <c r="C23" s="6"/>
      <c r="D23" s="6"/>
      <c r="E23" s="6"/>
      <c r="F23" s="6"/>
      <c r="G23" s="6"/>
    </row>
    <row r="24" spans="2:8" ht="18.75" customHeight="1" x14ac:dyDescent="0.2">
      <c r="B24" s="59" t="s">
        <v>152</v>
      </c>
      <c r="C24" s="60">
        <v>2.5000000000000001E-2</v>
      </c>
      <c r="D24" s="18" t="s">
        <v>153</v>
      </c>
    </row>
    <row r="25" spans="2:8" ht="18.75" customHeight="1" x14ac:dyDescent="0.2">
      <c r="B25" s="59" t="s">
        <v>154</v>
      </c>
      <c r="C25" s="79">
        <v>18</v>
      </c>
      <c r="D25" s="18" t="s">
        <v>155</v>
      </c>
    </row>
    <row r="27" spans="2:8" ht="19.5" customHeight="1" x14ac:dyDescent="0.2">
      <c r="B27" s="10" t="s">
        <v>156</v>
      </c>
    </row>
    <row r="28" spans="2:8" ht="18" customHeight="1" x14ac:dyDescent="0.2">
      <c r="B28" s="15" t="s">
        <v>157</v>
      </c>
      <c r="C28" s="22">
        <f>Projections!G39*(1+C24)/(C14-C24)</f>
        <v>5574.2060996422588</v>
      </c>
    </row>
    <row r="29" spans="2:8" ht="15" customHeight="1" x14ac:dyDescent="0.2">
      <c r="B29" s="13" t="s">
        <v>158</v>
      </c>
      <c r="C29" s="24">
        <f>C28/(1+$C$14)^5</f>
        <v>3700.006836214774</v>
      </c>
    </row>
    <row r="30" spans="2:8" ht="15" customHeight="1" x14ac:dyDescent="0.2">
      <c r="B30" s="32" t="s">
        <v>159</v>
      </c>
      <c r="C30" s="51">
        <f>C29/(C21+C29)</f>
        <v>0.77486143661377571</v>
      </c>
    </row>
    <row r="32" spans="2:8" ht="19.5" customHeight="1" x14ac:dyDescent="0.2">
      <c r="B32" s="10" t="s">
        <v>160</v>
      </c>
    </row>
    <row r="33" spans="2:7" ht="15" customHeight="1" x14ac:dyDescent="0.2">
      <c r="B33" s="15" t="s">
        <v>161</v>
      </c>
      <c r="C33" s="22">
        <f>Projections!G21*C25</f>
        <v>10151.642400768</v>
      </c>
    </row>
    <row r="34" spans="2:7" ht="15" customHeight="1" x14ac:dyDescent="0.2">
      <c r="B34" s="13" t="s">
        <v>158</v>
      </c>
      <c r="C34" s="24">
        <f>C33/(1+$C$14)^5</f>
        <v>6738.3849126174146</v>
      </c>
    </row>
    <row r="35" spans="2:7" ht="15" customHeight="1" x14ac:dyDescent="0.2">
      <c r="B35" s="32" t="s">
        <v>159</v>
      </c>
      <c r="C35" s="51">
        <f>C34/(C21+C34)</f>
        <v>0.86241014553605899</v>
      </c>
    </row>
    <row r="37" spans="2:7" ht="19.5" customHeight="1" x14ac:dyDescent="0.2">
      <c r="B37" s="6" t="s">
        <v>162</v>
      </c>
      <c r="C37" s="6"/>
      <c r="D37" s="6"/>
      <c r="E37" s="6"/>
      <c r="F37" s="6"/>
      <c r="G37" s="6"/>
    </row>
    <row r="38" spans="2:7" ht="15" customHeight="1" x14ac:dyDescent="0.2">
      <c r="B38" s="28"/>
      <c r="C38" s="28" t="s">
        <v>163</v>
      </c>
      <c r="D38" s="28" t="s">
        <v>164</v>
      </c>
    </row>
    <row r="39" spans="2:7" ht="15" customHeight="1" x14ac:dyDescent="0.2">
      <c r="B39" s="32" t="s">
        <v>165</v>
      </c>
      <c r="C39" s="80">
        <f>C21</f>
        <v>1075.0492723769564</v>
      </c>
      <c r="D39" s="80">
        <f>C21</f>
        <v>1075.0492723769564</v>
      </c>
    </row>
    <row r="40" spans="2:7" ht="15" customHeight="1" x14ac:dyDescent="0.2">
      <c r="B40" s="29" t="s">
        <v>166</v>
      </c>
      <c r="C40" s="81">
        <f>C29</f>
        <v>3700.006836214774</v>
      </c>
      <c r="D40" s="81">
        <f>C34</f>
        <v>6738.3849126174146</v>
      </c>
    </row>
    <row r="41" spans="2:7" ht="15" customHeight="1" x14ac:dyDescent="0.2">
      <c r="B41" s="13" t="s">
        <v>167</v>
      </c>
      <c r="C41" s="24">
        <f>C39+C40</f>
        <v>4775.0561085917307</v>
      </c>
      <c r="D41" s="24">
        <f>D39+D40</f>
        <v>7813.4341849943712</v>
      </c>
    </row>
    <row r="42" spans="2:7" ht="15" customHeight="1" x14ac:dyDescent="0.2">
      <c r="B42" s="29" t="s">
        <v>168</v>
      </c>
      <c r="C42" s="81">
        <f>-'Deal Overview'!$C$15</f>
        <v>-45</v>
      </c>
      <c r="D42" s="81">
        <f>-'Deal Overview'!$C$15</f>
        <v>-45</v>
      </c>
    </row>
    <row r="43" spans="2:7" ht="15" customHeight="1" x14ac:dyDescent="0.2">
      <c r="B43" s="13" t="s">
        <v>169</v>
      </c>
      <c r="C43" s="24">
        <f>C41+C42</f>
        <v>4730.0561085917307</v>
      </c>
      <c r="D43" s="24">
        <f>D41+D42</f>
        <v>7768.4341849943712</v>
      </c>
    </row>
    <row r="44" spans="2:7" ht="15" customHeight="1" x14ac:dyDescent="0.2">
      <c r="B44" s="29" t="s">
        <v>14</v>
      </c>
      <c r="C44" s="82">
        <f>'Deal Overview'!$C$13</f>
        <v>68</v>
      </c>
      <c r="D44" s="82">
        <f>'Deal Overview'!$C$13</f>
        <v>68</v>
      </c>
    </row>
    <row r="45" spans="2:7" ht="15" customHeight="1" x14ac:dyDescent="0.2">
      <c r="B45" s="35" t="s">
        <v>170</v>
      </c>
      <c r="C45" s="83">
        <f>C43/C44</f>
        <v>69.559648655760739</v>
      </c>
      <c r="D45" s="83">
        <f>D43/D44</f>
        <v>114.2416791910937</v>
      </c>
    </row>
    <row r="47" spans="2:7" ht="15" customHeight="1" x14ac:dyDescent="0.2">
      <c r="B47" s="35" t="s">
        <v>171</v>
      </c>
      <c r="C47" s="83">
        <f>(C45+D45)/2</f>
        <v>91.900663923427217</v>
      </c>
    </row>
    <row r="49" spans="2:8" ht="19.5" customHeight="1" x14ac:dyDescent="0.2">
      <c r="B49" s="6" t="s">
        <v>172</v>
      </c>
      <c r="C49" s="6"/>
      <c r="D49" s="6"/>
      <c r="E49" s="6"/>
      <c r="F49" s="6"/>
      <c r="G49" s="6"/>
      <c r="H49" s="6"/>
    </row>
    <row r="50" spans="2:8" ht="19.5" customHeight="1" x14ac:dyDescent="0.2">
      <c r="B50" s="84" t="s">
        <v>173</v>
      </c>
    </row>
    <row r="51" spans="2:8" ht="15" customHeight="1" x14ac:dyDescent="0.2">
      <c r="B51" s="28" t="s">
        <v>174</v>
      </c>
      <c r="C51" s="85">
        <v>1.4999999999999999E-2</v>
      </c>
      <c r="D51" s="85">
        <v>0.02</v>
      </c>
      <c r="E51" s="85">
        <v>2.5000000000000001E-2</v>
      </c>
      <c r="F51" s="85">
        <v>0.03</v>
      </c>
      <c r="G51" s="85">
        <v>3.5000000000000003E-2</v>
      </c>
    </row>
    <row r="52" spans="2:8" ht="15" customHeight="1" x14ac:dyDescent="0.2">
      <c r="B52" s="60">
        <v>7.4999999999999997E-2</v>
      </c>
      <c r="C52" s="86">
        <f>(Projections!C39/(1+$B52)^0.5+Projections!D39/(1+$B52)^1.5+Projections!E39/(1+$B52)^2.5+Projections!F39/(1+$B52)^3.5+Projections!G39/(1+$B52)^4.5+(Projections!$G$39*(1+C$51)/($B52-C$51))/(1+$B52)^5-'Deal Overview'!$C$15)/'Deal Overview'!$C$13</f>
        <v>72.478508662462744</v>
      </c>
      <c r="D52" s="86">
        <f>(Projections!C39/(1+$B52)^0.5+Projections!D39/(1+$B52)^1.5+Projections!E39/(1+$B52)^2.5+Projections!F39/(1+$B52)^3.5+Projections!G39/(1+$B52)^4.5+(Projections!$G$39*(1+D$51)/($B52-D$51))/(1+$B52)^5-'Deal Overview'!$C$15)/'Deal Overview'!$C$13</f>
        <v>77.960297009209228</v>
      </c>
      <c r="E52" s="86">
        <f>(Projections!C39/(1+$B52)^0.5+Projections!D39/(1+$B52)^1.5+Projections!E39/(1+$B52)^2.5+Projections!F39/(1+$B52)^3.5+Projections!G39/(1+$B52)^4.5+(Projections!$G$39*(1+E$51)/($B52-E$51))/(1+$B52)^5-'Deal Overview'!$C$15)/'Deal Overview'!$C$13</f>
        <v>84.538443025304986</v>
      </c>
      <c r="F52" s="86">
        <f>(Projections!C39/(1+$B52)^0.5+Projections!D39/(1+$B52)^1.5+Projections!E39/(1+$B52)^2.5+Projections!F39/(1+$B52)^3.5+Projections!G39/(1+$B52)^4.5+(Projections!$G$39*(1+F$51)/($B52-F$51))/(1+$B52)^5-'Deal Overview'!$C$15)/'Deal Overview'!$C$13</f>
        <v>92.578399267199813</v>
      </c>
      <c r="G52" s="86">
        <f>(Projections!C39/(1+$B52)^0.5+Projections!D39/(1+$B52)^1.5+Projections!E39/(1+$B52)^2.5+Projections!F39/(1+$B52)^3.5+Projections!G39/(1+$B52)^4.5+(Projections!$G$39*(1+G$51)/($B52-G$51))/(1+$B52)^5-'Deal Overview'!$C$15)/'Deal Overview'!$C$13</f>
        <v>102.62834456956836</v>
      </c>
    </row>
    <row r="53" spans="2:8" ht="15" customHeight="1" x14ac:dyDescent="0.2">
      <c r="B53" s="60">
        <v>0.08</v>
      </c>
      <c r="C53" s="87">
        <f>(Projections!C39/(1+$B53)^0.5+Projections!D39/(1+$B53)^1.5+Projections!E39/(1+$B53)^2.5+Projections!F39/(1+$B53)^3.5+Projections!G39/(1+$B53)^4.5+(Projections!$G$39*(1+C$51)/($B53-C$51))/(1+$B53)^5-'Deal Overview'!$C$15)/'Deal Overview'!$C$13</f>
        <v>66.70116594709782</v>
      </c>
      <c r="D53" s="87">
        <f>(Projections!C39/(1+$B53)^0.5+Projections!D39/(1+$B53)^1.5+Projections!E39/(1+$B53)^2.5+Projections!F39/(1+$B53)^3.5+Projections!G39/(1+$B53)^4.5+(Projections!$G$39*(1+D$51)/($B53-D$51))/(1+$B53)^5-'Deal Overview'!$C$15)/'Deal Overview'!$C$13</f>
        <v>71.254299939888071</v>
      </c>
      <c r="E53" s="87">
        <f>(Projections!C39/(1+$B53)^0.5+Projections!D39/(1+$B53)^1.5+Projections!E39/(1+$B53)^2.5+Projections!F39/(1+$B53)^3.5+Projections!G39/(1+$B53)^4.5+(Projections!$G$39*(1+E$51)/($B53-E$51))/(1+$B53)^5-'Deal Overview'!$C$15)/'Deal Overview'!$C$13</f>
        <v>76.635276476822</v>
      </c>
      <c r="F53" s="87">
        <f>(Projections!C39/(1+$B53)^0.5+Projections!D39/(1+$B53)^1.5+Projections!E39/(1+$B53)^2.5+Projections!F39/(1+$B53)^3.5+Projections!G39/(1+$B53)^4.5+(Projections!$G$39*(1+F$51)/($B53-F$51))/(1+$B53)^5-'Deal Overview'!$C$15)/'Deal Overview'!$C$13</f>
        <v>83.092448321142726</v>
      </c>
      <c r="G53" s="87">
        <f>(Projections!C39/(1+$B53)^0.5+Projections!D39/(1+$B53)^1.5+Projections!E39/(1+$B53)^2.5+Projections!F39/(1+$B53)^3.5+Projections!G39/(1+$B53)^4.5+(Projections!$G$39*(1+G$51)/($B53-G$51))/(1+$B53)^5-'Deal Overview'!$C$15)/'Deal Overview'!$C$13</f>
        <v>90.984547241979158</v>
      </c>
    </row>
    <row r="54" spans="2:8" ht="15" customHeight="1" x14ac:dyDescent="0.2">
      <c r="B54" s="60">
        <v>8.5000000000000006E-2</v>
      </c>
      <c r="C54" s="86">
        <f>(Projections!C39/(1+$B54)^0.5+Projections!D39/(1+$B54)^1.5+Projections!E39/(1+$B54)^2.5+Projections!F39/(1+$B54)^3.5+Projections!G39/(1+$B54)^4.5+(Projections!$G$39*(1+C$51)/($B54-C$51))/(1+$B54)^5-'Deal Overview'!$C$15)/'Deal Overview'!$C$13</f>
        <v>61.756156890826652</v>
      </c>
      <c r="D54" s="86">
        <f>(Projections!C39/(1+$B54)^0.5+Projections!D39/(1+$B54)^1.5+Projections!E39/(1+$B54)^2.5+Projections!F39/(1+$B54)^3.5+Projections!G39/(1+$B54)^4.5+(Projections!$G$39*(1+D$51)/($B54-D$51))/(1+$B54)^5-'Deal Overview'!$C$15)/'Deal Overview'!$C$13</f>
        <v>65.587400000427692</v>
      </c>
      <c r="E54" s="88">
        <f>(Projections!C39/(1+$B54)^0.5+Projections!D39/(1+$B54)^1.5+Projections!E39/(1+$B54)^2.5+Projections!F39/(1+$B54)^3.5+Projections!G39/(1+$B54)^4.5+(Projections!$G$39*(1+E$51)/($B54-E$51))/(1+$B54)^5-'Deal Overview'!$C$15)/'Deal Overview'!$C$13</f>
        <v>70.057183628295547</v>
      </c>
      <c r="F54" s="86">
        <f>(Projections!C39/(1+$B54)^0.5+Projections!D39/(1+$B54)^1.5+Projections!E39/(1+$B54)^2.5+Projections!F39/(1+$B54)^3.5+Projections!G39/(1+$B54)^4.5+(Projections!$G$39*(1+F$51)/($B54-F$51))/(1+$B54)^5-'Deal Overview'!$C$15)/'Deal Overview'!$C$13</f>
        <v>75.339655188503016</v>
      </c>
      <c r="G54" s="86">
        <f>(Projections!C39/(1+$B54)^0.5+Projections!D39/(1+$B54)^1.5+Projections!E39/(1+$B54)^2.5+Projections!F39/(1+$B54)^3.5+Projections!G39/(1+$B54)^4.5+(Projections!$G$39*(1+G$51)/($B54-G$51))/(1+$B54)^5-'Deal Overview'!$C$15)/'Deal Overview'!$C$13</f>
        <v>81.678621060751993</v>
      </c>
    </row>
    <row r="55" spans="2:8" ht="15" customHeight="1" x14ac:dyDescent="0.2">
      <c r="B55" s="60">
        <v>0.09</v>
      </c>
      <c r="C55" s="87">
        <f>(Projections!C39/(1+$B55)^0.5+Projections!D39/(1+$B55)^1.5+Projections!E39/(1+$B55)^2.5+Projections!F39/(1+$B55)^3.5+Projections!G39/(1+$B55)^4.5+(Projections!$G$39*(1+C$51)/($B55-C$51))/(1+$B55)^5-'Deal Overview'!$C$15)/'Deal Overview'!$C$13</f>
        <v>57.476771982011762</v>
      </c>
      <c r="D55" s="87">
        <f>(Projections!C39/(1+$B55)^0.5+Projections!D39/(1+$B55)^1.5+Projections!E39/(1+$B55)^2.5+Projections!F39/(1+$B55)^3.5+Projections!G39/(1+$B55)^4.5+(Projections!$G$39*(1+D$51)/($B55-D$51))/(1+$B55)^5-'Deal Overview'!$C$15)/'Deal Overview'!$C$13</f>
        <v>60.736675638093566</v>
      </c>
      <c r="E55" s="87">
        <f>(Projections!C39/(1+$B55)^0.5+Projections!D39/(1+$B55)^1.5+Projections!E39/(1+$B55)^2.5+Projections!F39/(1+$B55)^3.5+Projections!G39/(1+$B55)^4.5+(Projections!$G$39*(1+E$51)/($B55-E$51))/(1+$B55)^5-'Deal Overview'!$C$15)/'Deal Overview'!$C$13</f>
        <v>64.498102933572525</v>
      </c>
      <c r="F55" s="87">
        <f>(Projections!C39/(1+$B55)^0.5+Projections!D39/(1+$B55)^1.5+Projections!E39/(1+$B55)^2.5+Projections!F39/(1+$B55)^3.5+Projections!G39/(1+$B55)^4.5+(Projections!$G$39*(1+F$51)/($B55-F$51))/(1+$B55)^5-'Deal Overview'!$C$15)/'Deal Overview'!$C$13</f>
        <v>68.886434778297982</v>
      </c>
      <c r="G55" s="87">
        <f>(Projections!C39/(1+$B55)^0.5+Projections!D39/(1+$B55)^1.5+Projections!E39/(1+$B55)^2.5+Projections!F39/(1+$B55)^3.5+Projections!G39/(1+$B55)^4.5+(Projections!$G$39*(1+G$51)/($B55-G$51))/(1+$B55)^5-'Deal Overview'!$C$15)/'Deal Overview'!$C$13</f>
        <v>74.07264514024628</v>
      </c>
    </row>
    <row r="56" spans="2:8" ht="15" customHeight="1" x14ac:dyDescent="0.2">
      <c r="B56" s="60">
        <v>9.5000000000000001E-2</v>
      </c>
      <c r="C56" s="86">
        <f>(Projections!C39/(1+$B56)^0.5+Projections!D39/(1+$B56)^1.5+Projections!E39/(1+$B56)^2.5+Projections!F39/(1+$B56)^3.5+Projections!G39/(1+$B56)^4.5+(Projections!$G$39*(1+C$51)/($B56-C$51))/(1+$B56)^5-'Deal Overview'!$C$15)/'Deal Overview'!$C$13</f>
        <v>53.737988378708465</v>
      </c>
      <c r="D56" s="86">
        <f>(Projections!C39/(1+$B56)^0.5+Projections!D39/(1+$B56)^1.5+Projections!E39/(1+$B56)^2.5+Projections!F39/(1+$B56)^3.5+Projections!G39/(1+$B56)^4.5+(Projections!$G$39*(1+D$51)/($B56-D$51))/(1+$B56)^5-'Deal Overview'!$C$15)/'Deal Overview'!$C$13</f>
        <v>56.538660917761774</v>
      </c>
      <c r="E56" s="86">
        <f>(Projections!C39/(1+$B56)^0.5+Projections!D39/(1+$B56)^1.5+Projections!E39/(1+$B56)^2.5+Projections!F39/(1+$B56)^3.5+Projections!G39/(1+$B56)^4.5+(Projections!$G$39*(1+E$51)/($B56-E$51))/(1+$B56)^5-'Deal Overview'!$C$15)/'Deal Overview'!$C$13</f>
        <v>59.739429533822687</v>
      </c>
      <c r="F56" s="86">
        <f>(Projections!C39/(1+$B56)^0.5+Projections!D39/(1+$B56)^1.5+Projections!E39/(1+$B56)^2.5+Projections!F39/(1+$B56)^3.5+Projections!G39/(1+$B56)^4.5+(Projections!$G$39*(1+F$51)/($B56-F$51))/(1+$B56)^5-'Deal Overview'!$C$15)/'Deal Overview'!$C$13</f>
        <v>63.432624090816049</v>
      </c>
      <c r="G56" s="86">
        <f>(Projections!C39/(1+$B56)^0.5+Projections!D39/(1+$B56)^1.5+Projections!E39/(1+$B56)^2.5+Projections!F39/(1+$B56)^3.5+Projections!G39/(1+$B56)^4.5+(Projections!$G$39*(1+G$51)/($B56-G$51))/(1+$B56)^5-'Deal Overview'!$C$15)/'Deal Overview'!$C$13</f>
        <v>67.741351073974982</v>
      </c>
    </row>
    <row r="57" spans="2:8" ht="15" customHeight="1" x14ac:dyDescent="0.2">
      <c r="B57" s="89"/>
    </row>
    <row r="58" spans="2:8" ht="19.5" customHeight="1" x14ac:dyDescent="0.2">
      <c r="B58" s="90" t="s">
        <v>175</v>
      </c>
    </row>
    <row r="59" spans="2:8" ht="15" customHeight="1" x14ac:dyDescent="0.2">
      <c r="B59" s="28" t="s">
        <v>176</v>
      </c>
      <c r="C59" s="91">
        <v>14</v>
      </c>
      <c r="D59" s="91">
        <v>16</v>
      </c>
      <c r="E59" s="91">
        <v>18</v>
      </c>
      <c r="F59" s="91">
        <v>20</v>
      </c>
      <c r="G59" s="91">
        <v>22</v>
      </c>
    </row>
    <row r="60" spans="2:8" ht="15" customHeight="1" x14ac:dyDescent="0.2">
      <c r="B60" s="60">
        <v>7.4999999999999997E-2</v>
      </c>
      <c r="C60" s="86">
        <f>(Projections!C39/(1+$B60)^0.5+Projections!D39/(1+$B60)^1.5+Projections!E39/(1+$B60)^2.5+Projections!F39/(1+$B60)^3.5+Projections!G39/(1+$B60)^4.5+(Projections!$G$21*C$59)/(1+$B60)^5-'Deal Overview'!$C$15)/'Deal Overview'!$C$13</f>
        <v>96.424300297994023</v>
      </c>
      <c r="D60" s="86">
        <f>(Projections!C39/(1+$B60)^0.5+Projections!D39/(1+$B60)^1.5+Projections!E39/(1+$B60)^2.5+Projections!F39/(1+$B60)^3.5+Projections!G39/(1+$B60)^4.5+(Projections!$G$21*D$59)/(1+$B60)^5-'Deal Overview'!$C$15)/'Deal Overview'!$C$13</f>
        <v>107.97857177967116</v>
      </c>
      <c r="E60" s="86">
        <f>(Projections!C39/(1+$B60)^0.5+Projections!D39/(1+$B60)^1.5+Projections!E39/(1+$B60)^2.5+Projections!F39/(1+$B60)^3.5+Projections!G39/(1+$B60)^4.5+(Projections!$G$21*E$59)/(1+$B60)^5-'Deal Overview'!$C$15)/'Deal Overview'!$C$13</f>
        <v>119.53284326134829</v>
      </c>
      <c r="F60" s="86">
        <f>(Projections!C39/(1+$B60)^0.5+Projections!D39/(1+$B60)^1.5+Projections!E39/(1+$B60)^2.5+Projections!F39/(1+$B60)^3.5+Projections!G39/(1+$B60)^4.5+(Projections!$G$21*F$59)/(1+$B60)^5-'Deal Overview'!$C$15)/'Deal Overview'!$C$13</f>
        <v>131.08711474302547</v>
      </c>
      <c r="G60" s="86">
        <f>(Projections!C39/(1+$B60)^0.5+Projections!D39/(1+$B60)^1.5+Projections!E39/(1+$B60)^2.5+Projections!F39/(1+$B60)^3.5+Projections!G39/(1+$B60)^4.5+(Projections!$G$21*G$59)/(1+$B60)^5-'Deal Overview'!$C$15)/'Deal Overview'!$C$13</f>
        <v>142.64138622470256</v>
      </c>
    </row>
    <row r="61" spans="2:8" ht="15" customHeight="1" x14ac:dyDescent="0.2">
      <c r="B61" s="60">
        <v>0.08</v>
      </c>
      <c r="C61" s="87">
        <f>(Projections!C39/(1+$B61)^0.5+Projections!D39/(1+$B61)^1.5+Projections!E39/(1+$B61)^2.5+Projections!F39/(1+$B61)^3.5+Projections!G39/(1+$B61)^4.5+(Projections!$G$21*C$59)/(1+$B61)^5-'Deal Overview'!$C$15)/'Deal Overview'!$C$13</f>
        <v>94.376868338549343</v>
      </c>
      <c r="D61" s="87">
        <f>(Projections!C39/(1+$B61)^0.5+Projections!D39/(1+$B61)^1.5+Projections!E39/(1+$B61)^2.5+Projections!F39/(1+$B61)^3.5+Projections!G39/(1+$B61)^4.5+(Projections!$G$21*D$59)/(1+$B61)^5-'Deal Overview'!$C$15)/'Deal Overview'!$C$13</f>
        <v>105.66614487491876</v>
      </c>
      <c r="E61" s="87">
        <f>(Projections!C39/(1+$B61)^0.5+Projections!D39/(1+$B61)^1.5+Projections!E39/(1+$B61)^2.5+Projections!F39/(1+$B61)^3.5+Projections!G39/(1+$B61)^4.5+(Projections!$G$21*E$59)/(1+$B61)^5-'Deal Overview'!$C$15)/'Deal Overview'!$C$13</f>
        <v>116.95542141128817</v>
      </c>
      <c r="F61" s="87">
        <f>(Projections!C39/(1+$B61)^0.5+Projections!D39/(1+$B61)^1.5+Projections!E39/(1+$B61)^2.5+Projections!F39/(1+$B61)^3.5+Projections!G39/(1+$B61)^4.5+(Projections!$G$21*F$59)/(1+$B61)^5-'Deal Overview'!$C$15)/'Deal Overview'!$C$13</f>
        <v>128.24469794765761</v>
      </c>
      <c r="G61" s="87">
        <f>(Projections!C39/(1+$B61)^0.5+Projections!D39/(1+$B61)^1.5+Projections!E39/(1+$B61)^2.5+Projections!F39/(1+$B61)^3.5+Projections!G39/(1+$B61)^4.5+(Projections!$G$21*G$59)/(1+$B61)^5-'Deal Overview'!$C$15)/'Deal Overview'!$C$13</f>
        <v>139.53397448402703</v>
      </c>
    </row>
    <row r="62" spans="2:8" ht="15" customHeight="1" x14ac:dyDescent="0.2">
      <c r="B62" s="60">
        <v>8.5000000000000006E-2</v>
      </c>
      <c r="C62" s="86">
        <f>(Projections!C39/(1+$B62)^0.5+Projections!D39/(1+$B62)^1.5+Projections!E39/(1+$B62)^2.5+Projections!F39/(1+$B62)^3.5+Projections!G39/(1+$B62)^4.5+(Projections!$G$21*C$59)/(1+$B62)^5-'Deal Overview'!$C$15)/'Deal Overview'!$C$13</f>
        <v>92.384086717734107</v>
      </c>
      <c r="D62" s="86">
        <f>(Projections!C39/(1+$B62)^0.5+Projections!D39/(1+$B62)^1.5+Projections!E39/(1+$B62)^2.5+Projections!F39/(1+$B62)^3.5+Projections!G39/(1+$B62)^4.5+(Projections!$G$21*D$59)/(1+$B62)^5-'Deal Overview'!$C$15)/'Deal Overview'!$C$13</f>
        <v>103.41562808618443</v>
      </c>
      <c r="E62" s="88">
        <f>(Projections!C39/(1+$B62)^0.5+Projections!D39/(1+$B62)^1.5+Projections!E39/(1+$B62)^2.5+Projections!F39/(1+$B62)^3.5+Projections!G39/(1+$B62)^4.5+(Projections!$G$21*E$59)/(1+$B62)^5-'Deal Overview'!$C$15)/'Deal Overview'!$C$13</f>
        <v>114.44716945463473</v>
      </c>
      <c r="F62" s="86">
        <f>(Projections!C39/(1+$B62)^0.5+Projections!D39/(1+$B62)^1.5+Projections!E39/(1+$B62)^2.5+Projections!F39/(1+$B62)^3.5+Projections!G39/(1+$B62)^4.5+(Projections!$G$21*F$59)/(1+$B62)^5-'Deal Overview'!$C$15)/'Deal Overview'!$C$13</f>
        <v>125.47871082308505</v>
      </c>
      <c r="G62" s="86">
        <f>(Projections!C39/(1+$B62)^0.5+Projections!D39/(1+$B62)^1.5+Projections!E39/(1+$B62)^2.5+Projections!F39/(1+$B62)^3.5+Projections!G39/(1+$B62)^4.5+(Projections!$G$21*G$59)/(1+$B62)^5-'Deal Overview'!$C$15)/'Deal Overview'!$C$13</f>
        <v>136.51025219153536</v>
      </c>
    </row>
    <row r="63" spans="2:8" ht="15" customHeight="1" x14ac:dyDescent="0.2">
      <c r="B63" s="60">
        <v>0.09</v>
      </c>
      <c r="C63" s="87">
        <f>(Projections!C39/(1+$B63)^0.5+Projections!D39/(1+$B63)^1.5+Projections!E39/(1+$B63)^2.5+Projections!F39/(1+$B63)^3.5+Projections!G39/(1+$B63)^4.5+(Projections!$G$21*C$59)/(1+$B63)^5-'Deal Overview'!$C$15)/'Deal Overview'!$C$13</f>
        <v>90.444239946527176</v>
      </c>
      <c r="D63" s="87">
        <f>(Projections!C39/(1+$B63)^0.5+Projections!D39/(1+$B63)^1.5+Projections!E39/(1+$B63)^2.5+Projections!F39/(1+$B63)^3.5+Projections!G39/(1+$B63)^4.5+(Projections!$G$21*D$59)/(1+$B63)^5-'Deal Overview'!$C$15)/'Deal Overview'!$C$13</f>
        <v>101.22507494446216</v>
      </c>
      <c r="E63" s="87">
        <f>(Projections!C39/(1+$B63)^0.5+Projections!D39/(1+$B63)^1.5+Projections!E39/(1+$B63)^2.5+Projections!F39/(1+$B63)^3.5+Projections!G39/(1+$B63)^4.5+(Projections!$G$21*E$59)/(1+$B63)^5-'Deal Overview'!$C$15)/'Deal Overview'!$C$13</f>
        <v>112.00590994239714</v>
      </c>
      <c r="F63" s="87">
        <f>(Projections!C39/(1+$B63)^0.5+Projections!D39/(1+$B63)^1.5+Projections!E39/(1+$B63)^2.5+Projections!F39/(1+$B63)^3.5+Projections!G39/(1+$B63)^4.5+(Projections!$G$21*F$59)/(1+$B63)^5-'Deal Overview'!$C$15)/'Deal Overview'!$C$13</f>
        <v>122.78674494033214</v>
      </c>
      <c r="G63" s="87">
        <f>(Projections!C39/(1+$B63)^0.5+Projections!D39/(1+$B63)^1.5+Projections!E39/(1+$B63)^2.5+Projections!F39/(1+$B63)^3.5+Projections!G39/(1+$B63)^4.5+(Projections!$G$21*G$59)/(1+$B63)^5-'Deal Overview'!$C$15)/'Deal Overview'!$C$13</f>
        <v>133.5675799382671</v>
      </c>
    </row>
    <row r="64" spans="2:8" ht="15" customHeight="1" x14ac:dyDescent="0.2">
      <c r="B64" s="60">
        <v>9.5000000000000001E-2</v>
      </c>
      <c r="C64" s="86">
        <f>(Projections!C39/(1+$B64)^0.5+Projections!D39/(1+$B64)^1.5+Projections!E39/(1+$B64)^2.5+Projections!F39/(1+$B64)^3.5+Projections!G39/(1+$B64)^4.5+(Projections!$G$21*C$59)/(1+$B64)^5-'Deal Overview'!$C$15)/'Deal Overview'!$C$13</f>
        <v>88.555674111767601</v>
      </c>
      <c r="D64" s="86">
        <f>(Projections!C39/(1+$B64)^0.5+Projections!D39/(1+$B64)^1.5+Projections!E39/(1+$B64)^2.5+Projections!F39/(1+$B64)^3.5+Projections!G39/(1+$B64)^4.5+(Projections!$G$21*D$59)/(1+$B64)^5-'Deal Overview'!$C$15)/'Deal Overview'!$C$13</f>
        <v>99.092608917349636</v>
      </c>
      <c r="E64" s="86">
        <f>(Projections!C39/(1+$B64)^0.5+Projections!D39/(1+$B64)^1.5+Projections!E39/(1+$B64)^2.5+Projections!F39/(1+$B64)^3.5+Projections!G39/(1+$B64)^4.5+(Projections!$G$21*E$59)/(1+$B64)^5-'Deal Overview'!$C$15)/'Deal Overview'!$C$13</f>
        <v>109.62954372293167</v>
      </c>
      <c r="F64" s="86">
        <f>(Projections!C39/(1+$B64)^0.5+Projections!D39/(1+$B64)^1.5+Projections!E39/(1+$B64)^2.5+Projections!F39/(1+$B64)^3.5+Projections!G39/(1+$B64)^4.5+(Projections!$G$21*F$59)/(1+$B64)^5-'Deal Overview'!$C$15)/'Deal Overview'!$C$13</f>
        <v>120.16647852851371</v>
      </c>
      <c r="G64" s="86">
        <f>(Projections!C39/(1+$B64)^0.5+Projections!D39/(1+$B64)^1.5+Projections!E39/(1+$B64)^2.5+Projections!F39/(1+$B64)^3.5+Projections!G39/(1+$B64)^4.5+(Projections!$G$21*G$59)/(1+$B64)^5-'Deal Overview'!$C$15)/'Deal Overview'!$C$13</f>
        <v>130.70341333409576</v>
      </c>
    </row>
    <row r="66" spans="1:8" ht="15" customHeight="1" x14ac:dyDescent="0.2">
      <c r="A66" s="4" t="s">
        <v>35</v>
      </c>
      <c r="B66" s="4"/>
      <c r="C66" s="4"/>
      <c r="D66" s="4"/>
      <c r="E66" s="4"/>
      <c r="F66" s="4"/>
      <c r="G66" s="4"/>
      <c r="H66" s="4"/>
    </row>
  </sheetData>
  <mergeCells count="7">
    <mergeCell ref="B49:H49"/>
    <mergeCell ref="A66:H66"/>
    <mergeCell ref="B2:G2"/>
    <mergeCell ref="B4:G4"/>
    <mergeCell ref="B16:G16"/>
    <mergeCell ref="B23:G23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B3A"/>
  </sheetPr>
  <dimension ref="A2:K2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24" customWidth="1"/>
    <col min="3" max="11" width="12" customWidth="1"/>
  </cols>
  <sheetData>
    <row r="2" spans="2:11" ht="24" customHeight="1" x14ac:dyDescent="0.2">
      <c r="B2" s="9" t="s">
        <v>177</v>
      </c>
      <c r="C2" s="9"/>
      <c r="D2" s="9"/>
      <c r="E2" s="9"/>
      <c r="F2" s="9"/>
      <c r="G2" s="9"/>
      <c r="H2" s="9"/>
      <c r="I2" s="9"/>
      <c r="J2" s="9"/>
      <c r="K2" s="9"/>
    </row>
    <row r="3" spans="2:11" ht="27.75" customHeight="1" x14ac:dyDescent="0.2">
      <c r="B3" s="92" t="s">
        <v>178</v>
      </c>
    </row>
    <row r="5" spans="2:11" ht="27.75" customHeight="1" x14ac:dyDescent="0.2">
      <c r="B5" s="28" t="s">
        <v>179</v>
      </c>
      <c r="C5" s="28" t="s">
        <v>180</v>
      </c>
      <c r="D5" s="28" t="s">
        <v>181</v>
      </c>
      <c r="E5" s="28" t="s">
        <v>182</v>
      </c>
      <c r="F5" s="28" t="s">
        <v>183</v>
      </c>
      <c r="G5" s="28" t="s">
        <v>184</v>
      </c>
      <c r="H5" s="28" t="s">
        <v>185</v>
      </c>
      <c r="I5" s="28" t="s">
        <v>186</v>
      </c>
      <c r="J5" s="28" t="s">
        <v>187</v>
      </c>
      <c r="K5" s="28" t="s">
        <v>105</v>
      </c>
    </row>
    <row r="6" spans="2:11" ht="15" customHeight="1" x14ac:dyDescent="0.2">
      <c r="B6" s="29" t="s">
        <v>188</v>
      </c>
      <c r="C6" s="93">
        <v>220</v>
      </c>
      <c r="D6" s="93">
        <v>218</v>
      </c>
      <c r="E6" s="93">
        <v>14.5</v>
      </c>
      <c r="F6" s="93">
        <v>7.8</v>
      </c>
      <c r="G6" s="93">
        <v>4.5</v>
      </c>
      <c r="H6" s="94">
        <f t="shared" ref="H6:H12" si="0">D6/E6</f>
        <v>15.03448275862069</v>
      </c>
      <c r="I6" s="94">
        <f t="shared" ref="I6:I12" si="1">D6/F6</f>
        <v>27.948717948717949</v>
      </c>
      <c r="J6" s="94">
        <f t="shared" ref="J6:J12" si="2">C6/G6</f>
        <v>48.888888888888886</v>
      </c>
      <c r="K6" s="46">
        <v>0.53800000000000003</v>
      </c>
    </row>
    <row r="7" spans="2:11" ht="15" customHeight="1" x14ac:dyDescent="0.2">
      <c r="B7" s="32" t="s">
        <v>189</v>
      </c>
      <c r="C7" s="95">
        <v>310</v>
      </c>
      <c r="D7" s="95">
        <v>340</v>
      </c>
      <c r="E7" s="95">
        <v>85</v>
      </c>
      <c r="F7" s="95">
        <v>24.3</v>
      </c>
      <c r="G7" s="95">
        <v>14.1</v>
      </c>
      <c r="H7" s="25">
        <f t="shared" si="0"/>
        <v>4</v>
      </c>
      <c r="I7" s="25">
        <f t="shared" si="1"/>
        <v>13.991769547325102</v>
      </c>
      <c r="J7" s="25">
        <f t="shared" si="2"/>
        <v>21.98581560283688</v>
      </c>
      <c r="K7" s="51">
        <v>0.28599999999999998</v>
      </c>
    </row>
    <row r="8" spans="2:11" ht="15" customHeight="1" x14ac:dyDescent="0.2">
      <c r="B8" s="29" t="s">
        <v>190</v>
      </c>
      <c r="C8" s="93">
        <v>16</v>
      </c>
      <c r="D8" s="93">
        <v>17.5</v>
      </c>
      <c r="E8" s="93">
        <v>3.2</v>
      </c>
      <c r="F8" s="93">
        <v>1</v>
      </c>
      <c r="G8" s="93">
        <v>0.6</v>
      </c>
      <c r="H8" s="94">
        <f t="shared" si="0"/>
        <v>5.46875</v>
      </c>
      <c r="I8" s="94">
        <f t="shared" si="1"/>
        <v>17.5</v>
      </c>
      <c r="J8" s="94">
        <f t="shared" si="2"/>
        <v>26.666666666666668</v>
      </c>
      <c r="K8" s="46">
        <v>0.313</v>
      </c>
    </row>
    <row r="9" spans="2:11" ht="15" customHeight="1" x14ac:dyDescent="0.2">
      <c r="B9" s="32" t="s">
        <v>191</v>
      </c>
      <c r="C9" s="95">
        <v>22</v>
      </c>
      <c r="D9" s="95">
        <v>23.5</v>
      </c>
      <c r="E9" s="95">
        <v>5.4</v>
      </c>
      <c r="F9" s="95">
        <v>1.6</v>
      </c>
      <c r="G9" s="95">
        <v>1</v>
      </c>
      <c r="H9" s="25">
        <f t="shared" si="0"/>
        <v>4.3518518518518512</v>
      </c>
      <c r="I9" s="25">
        <f t="shared" si="1"/>
        <v>14.6875</v>
      </c>
      <c r="J9" s="25">
        <f t="shared" si="2"/>
        <v>22</v>
      </c>
      <c r="K9" s="51">
        <v>0.29599999999999999</v>
      </c>
    </row>
    <row r="10" spans="2:11" ht="15" customHeight="1" x14ac:dyDescent="0.2">
      <c r="B10" s="96" t="s">
        <v>192</v>
      </c>
      <c r="C10" s="97">
        <v>26</v>
      </c>
      <c r="D10" s="97">
        <v>35</v>
      </c>
      <c r="E10" s="97">
        <v>17.5</v>
      </c>
      <c r="F10" s="97">
        <v>4.5</v>
      </c>
      <c r="G10" s="97">
        <v>2.1</v>
      </c>
      <c r="H10" s="98">
        <f t="shared" si="0"/>
        <v>2</v>
      </c>
      <c r="I10" s="98">
        <f t="shared" si="1"/>
        <v>7.7777777777777777</v>
      </c>
      <c r="J10" s="98">
        <f t="shared" si="2"/>
        <v>12.38095238095238</v>
      </c>
      <c r="K10" s="99">
        <v>0.25700000000000001</v>
      </c>
    </row>
    <row r="11" spans="2:11" ht="15" customHeight="1" x14ac:dyDescent="0.2">
      <c r="B11" s="32" t="s">
        <v>193</v>
      </c>
      <c r="C11" s="95">
        <v>3.5</v>
      </c>
      <c r="D11" s="95">
        <v>5</v>
      </c>
      <c r="E11" s="95">
        <v>2.1</v>
      </c>
      <c r="F11" s="95">
        <v>0.5</v>
      </c>
      <c r="G11" s="95">
        <v>0.2</v>
      </c>
      <c r="H11" s="25">
        <f t="shared" si="0"/>
        <v>2.3809523809523809</v>
      </c>
      <c r="I11" s="25">
        <f t="shared" si="1"/>
        <v>10</v>
      </c>
      <c r="J11" s="25">
        <f t="shared" si="2"/>
        <v>17.5</v>
      </c>
      <c r="K11" s="51">
        <v>0.23799999999999999</v>
      </c>
    </row>
    <row r="12" spans="2:11" ht="15" customHeight="1" x14ac:dyDescent="0.2">
      <c r="B12" s="29" t="s">
        <v>194</v>
      </c>
      <c r="C12" s="93">
        <v>2.8</v>
      </c>
      <c r="D12" s="93">
        <v>3.3</v>
      </c>
      <c r="E12" s="93">
        <v>1.3</v>
      </c>
      <c r="F12" s="93">
        <v>0.2</v>
      </c>
      <c r="G12" s="93">
        <v>0.1</v>
      </c>
      <c r="H12" s="94">
        <f t="shared" si="0"/>
        <v>2.5384615384615383</v>
      </c>
      <c r="I12" s="94">
        <f t="shared" si="1"/>
        <v>16.499999999999996</v>
      </c>
      <c r="J12" s="94">
        <f t="shared" si="2"/>
        <v>27.999999999999996</v>
      </c>
      <c r="K12" s="46">
        <v>0.154</v>
      </c>
    </row>
    <row r="13" spans="2:11" ht="15" customHeight="1" x14ac:dyDescent="0.2">
      <c r="B13" s="35" t="s">
        <v>195</v>
      </c>
      <c r="C13" s="100"/>
      <c r="D13" s="100"/>
      <c r="E13" s="100"/>
      <c r="F13" s="100"/>
      <c r="G13" s="100"/>
      <c r="H13" s="101">
        <f>AVERAGE(H6,H7,H8,H9,H11,H12)</f>
        <v>5.6290830883144096</v>
      </c>
      <c r="I13" s="101">
        <f>AVERAGE(I6,I7,I8,I9,I11,I12)</f>
        <v>16.771331249340509</v>
      </c>
      <c r="J13" s="101">
        <f>AVERAGE(J6,J7,J8,J9,J11,J12)</f>
        <v>27.506895193065407</v>
      </c>
    </row>
    <row r="14" spans="2:11" ht="15" customHeight="1" x14ac:dyDescent="0.2">
      <c r="B14" s="35" t="s">
        <v>196</v>
      </c>
      <c r="C14" s="100"/>
      <c r="D14" s="100"/>
      <c r="E14" s="100"/>
      <c r="F14" s="100"/>
      <c r="G14" s="100"/>
      <c r="H14" s="101">
        <f>MEDIAN(H6,H7,H8,H9,H11,H12)</f>
        <v>4.1759259259259256</v>
      </c>
      <c r="I14" s="101">
        <f>MEDIAN(I6,I7,I8,I9,I11,I12)</f>
        <v>15.593749999999998</v>
      </c>
      <c r="J14" s="101">
        <f>MEDIAN(J6,J7,J8,J9,J11,J12)</f>
        <v>24.333333333333336</v>
      </c>
    </row>
    <row r="16" spans="2:11" ht="19.5" customHeight="1" x14ac:dyDescent="0.2">
      <c r="B16" s="6" t="s">
        <v>197</v>
      </c>
      <c r="C16" s="6"/>
      <c r="D16" s="6"/>
      <c r="E16" s="6"/>
      <c r="F16" s="6"/>
      <c r="G16" s="6"/>
      <c r="H16" s="6"/>
      <c r="I16" s="6"/>
      <c r="J16" s="6"/>
      <c r="K16" s="6"/>
    </row>
    <row r="17" spans="1:11" ht="15" customHeight="1" x14ac:dyDescent="0.2">
      <c r="B17" s="28"/>
      <c r="C17" s="28" t="s">
        <v>198</v>
      </c>
      <c r="D17" s="28" t="s">
        <v>186</v>
      </c>
      <c r="E17" s="28" t="s">
        <v>199</v>
      </c>
    </row>
    <row r="18" spans="1:11" ht="15" customHeight="1" x14ac:dyDescent="0.2">
      <c r="B18" s="29" t="s">
        <v>200</v>
      </c>
      <c r="C18" s="40">
        <f>'Cucinelli Financials'!H6</f>
        <v>1280</v>
      </c>
      <c r="D18" s="40">
        <f>'Cucinelli Financials'!H12</f>
        <v>346</v>
      </c>
      <c r="E18" s="40">
        <f>'Cucinelli Financials'!H20</f>
        <v>187.95999999999998</v>
      </c>
    </row>
    <row r="19" spans="1:11" ht="15" customHeight="1" x14ac:dyDescent="0.2">
      <c r="B19" s="15" t="s">
        <v>201</v>
      </c>
      <c r="C19" s="22">
        <f>H14*C18</f>
        <v>5345.1851851851843</v>
      </c>
      <c r="D19" s="22">
        <f>I14*D18</f>
        <v>5395.4374999999991</v>
      </c>
      <c r="E19" s="22">
        <f>J14*E18</f>
        <v>4573.6933333333336</v>
      </c>
      <c r="F19" s="63" t="s">
        <v>202</v>
      </c>
    </row>
    <row r="20" spans="1:11" ht="15" customHeight="1" x14ac:dyDescent="0.2">
      <c r="B20" s="49" t="s">
        <v>203</v>
      </c>
      <c r="C20" s="78">
        <f>H13*C18</f>
        <v>7205.2263530424443</v>
      </c>
      <c r="D20" s="78">
        <f>I13*D18</f>
        <v>5802.8806122718161</v>
      </c>
      <c r="E20" s="78">
        <f>J13*E18</f>
        <v>5170.1960204885736</v>
      </c>
    </row>
    <row r="22" spans="1:11" ht="23.25" customHeight="1" x14ac:dyDescent="0.2">
      <c r="B22" s="35" t="s">
        <v>204</v>
      </c>
      <c r="C22" s="83">
        <f>(C19-'Deal Overview'!$C$15)/'Deal Overview'!$C$13</f>
        <v>77.943899782135063</v>
      </c>
      <c r="D22" s="83">
        <f>(D19-'Deal Overview'!$C$15)/'Deal Overview'!$C$13</f>
        <v>78.682904411764696</v>
      </c>
      <c r="E22" s="83">
        <f>E19/'Deal Overview'!$C$13</f>
        <v>67.260196078431377</v>
      </c>
      <c r="F22" s="63" t="s">
        <v>205</v>
      </c>
    </row>
    <row r="23" spans="1:11" ht="23.25" customHeight="1" x14ac:dyDescent="0.2">
      <c r="B23" s="15" t="s">
        <v>206</v>
      </c>
      <c r="C23" s="102">
        <f>(C20-'Deal Overview'!$C$15)/'Deal Overview'!$C$13</f>
        <v>105.29744636827124</v>
      </c>
      <c r="D23" s="102">
        <f>(D20-'Deal Overview'!$C$15)/'Deal Overview'!$C$13</f>
        <v>84.67471488635023</v>
      </c>
      <c r="E23" s="102">
        <f>E20/'Deal Overview'!$C$13</f>
        <v>76.032294418949618</v>
      </c>
    </row>
    <row r="26" spans="1:11" ht="15" customHeight="1" x14ac:dyDescent="0.2">
      <c r="A26" s="4" t="s">
        <v>35</v>
      </c>
      <c r="B26" s="4"/>
      <c r="C26" s="4"/>
      <c r="D26" s="4"/>
      <c r="E26" s="4"/>
      <c r="F26" s="4"/>
      <c r="G26" s="4"/>
      <c r="H26" s="4"/>
      <c r="I26" s="4"/>
      <c r="J26" s="4"/>
      <c r="K26" s="4"/>
    </row>
  </sheetData>
  <mergeCells count="3">
    <mergeCell ref="B2:K2"/>
    <mergeCell ref="B16:K16"/>
    <mergeCell ref="A26:K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6B3A"/>
  </sheetPr>
  <dimension ref="A2:I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8" sqref="C18"/>
    </sheetView>
  </sheetViews>
  <sheetFormatPr baseColWidth="10" defaultColWidth="8.6640625" defaultRowHeight="15" x14ac:dyDescent="0.2"/>
  <cols>
    <col min="1" max="1" width="2" customWidth="1"/>
    <col min="2" max="3" width="20" customWidth="1"/>
    <col min="4" max="4" width="9" customWidth="1"/>
    <col min="5" max="8" width="12" customWidth="1"/>
    <col min="9" max="9" width="30" customWidth="1"/>
  </cols>
  <sheetData>
    <row r="2" spans="2:9" ht="24" customHeight="1" x14ac:dyDescent="0.2">
      <c r="B2" s="9" t="s">
        <v>207</v>
      </c>
      <c r="C2" s="9"/>
      <c r="D2" s="9"/>
      <c r="E2" s="9"/>
      <c r="F2" s="9"/>
      <c r="G2" s="9"/>
      <c r="H2" s="9"/>
      <c r="I2" s="9"/>
    </row>
    <row r="4" spans="2:9" ht="19.5" customHeight="1" x14ac:dyDescent="0.2">
      <c r="B4" s="28" t="s">
        <v>4</v>
      </c>
      <c r="C4" s="28" t="s">
        <v>6</v>
      </c>
      <c r="D4" s="28" t="s">
        <v>208</v>
      </c>
      <c r="E4" s="28" t="s">
        <v>181</v>
      </c>
      <c r="F4" s="28" t="s">
        <v>185</v>
      </c>
      <c r="G4" s="28" t="s">
        <v>186</v>
      </c>
      <c r="H4" s="28" t="s">
        <v>209</v>
      </c>
      <c r="I4" s="28" t="s">
        <v>44</v>
      </c>
    </row>
    <row r="5" spans="2:9" ht="15" customHeight="1" x14ac:dyDescent="0.2">
      <c r="B5" s="32" t="s">
        <v>189</v>
      </c>
      <c r="C5" s="32" t="s">
        <v>210</v>
      </c>
      <c r="D5" s="103" t="s">
        <v>211</v>
      </c>
      <c r="E5" s="104">
        <v>14.7</v>
      </c>
      <c r="F5" s="105">
        <v>5.6</v>
      </c>
      <c r="G5" s="105">
        <v>16.5</v>
      </c>
      <c r="H5" s="43">
        <v>0.37</v>
      </c>
      <c r="I5" s="45" t="s">
        <v>212</v>
      </c>
    </row>
    <row r="6" spans="2:9" ht="15" customHeight="1" x14ac:dyDescent="0.2">
      <c r="B6" s="29" t="s">
        <v>213</v>
      </c>
      <c r="C6" s="29" t="s">
        <v>214</v>
      </c>
      <c r="D6" s="106" t="s">
        <v>215</v>
      </c>
      <c r="E6" s="107">
        <v>1.8</v>
      </c>
      <c r="F6" s="108">
        <v>2.2999999999999998</v>
      </c>
      <c r="G6" s="108">
        <v>14</v>
      </c>
      <c r="H6" s="109" t="s">
        <v>216</v>
      </c>
      <c r="I6" s="41" t="s">
        <v>217</v>
      </c>
    </row>
    <row r="7" spans="2:9" ht="15" customHeight="1" x14ac:dyDescent="0.2">
      <c r="B7" s="32" t="s">
        <v>218</v>
      </c>
      <c r="C7" s="32" t="s">
        <v>213</v>
      </c>
      <c r="D7" s="103" t="s">
        <v>219</v>
      </c>
      <c r="E7" s="104">
        <v>8</v>
      </c>
      <c r="F7" s="105">
        <v>1.5</v>
      </c>
      <c r="G7" s="105">
        <v>9.1999999999999993</v>
      </c>
      <c r="H7" s="43">
        <v>0.28000000000000003</v>
      </c>
      <c r="I7" s="45" t="s">
        <v>220</v>
      </c>
    </row>
    <row r="8" spans="2:9" ht="15" customHeight="1" x14ac:dyDescent="0.2">
      <c r="B8" s="29" t="s">
        <v>221</v>
      </c>
      <c r="C8" s="29" t="s">
        <v>222</v>
      </c>
      <c r="D8" s="106" t="s">
        <v>223</v>
      </c>
      <c r="E8" s="107">
        <v>2.2000000000000002</v>
      </c>
      <c r="F8" s="108">
        <v>1.7</v>
      </c>
      <c r="G8" s="108">
        <v>16</v>
      </c>
      <c r="H8" s="110">
        <v>0.27</v>
      </c>
      <c r="I8" s="41" t="s">
        <v>224</v>
      </c>
    </row>
    <row r="9" spans="2:9" ht="15" customHeight="1" x14ac:dyDescent="0.2">
      <c r="B9" s="32" t="s">
        <v>225</v>
      </c>
      <c r="C9" s="32" t="s">
        <v>226</v>
      </c>
      <c r="D9" s="103" t="s">
        <v>223</v>
      </c>
      <c r="E9" s="104">
        <v>1.1000000000000001</v>
      </c>
      <c r="F9" s="105">
        <v>2.2000000000000002</v>
      </c>
      <c r="G9" s="105">
        <v>13</v>
      </c>
      <c r="H9" s="43">
        <v>0.36</v>
      </c>
      <c r="I9" s="45" t="s">
        <v>227</v>
      </c>
    </row>
    <row r="10" spans="2:9" ht="18.75" customHeight="1" x14ac:dyDescent="0.2">
      <c r="B10" s="29" t="s">
        <v>228</v>
      </c>
      <c r="C10" s="29" t="s">
        <v>229</v>
      </c>
      <c r="D10" s="106" t="s">
        <v>215</v>
      </c>
      <c r="E10" s="107">
        <v>0.2</v>
      </c>
      <c r="F10" s="109" t="s">
        <v>216</v>
      </c>
      <c r="G10" s="109" t="s">
        <v>216</v>
      </c>
      <c r="H10" s="109" t="s">
        <v>216</v>
      </c>
      <c r="I10" s="41" t="s">
        <v>230</v>
      </c>
    </row>
    <row r="11" spans="2:9" ht="15" customHeight="1" x14ac:dyDescent="0.2">
      <c r="B11" s="35" t="s">
        <v>231</v>
      </c>
      <c r="F11" s="101">
        <f>AVERAGE(F5,F6,F7,F8,F9)</f>
        <v>2.6599999999999993</v>
      </c>
      <c r="G11" s="101">
        <f>AVERAGE(G5,G6,G7,G8,G9)</f>
        <v>13.74</v>
      </c>
      <c r="H11" s="111">
        <f>AVERAGE(H5,H7,H8,H9)</f>
        <v>0.32</v>
      </c>
    </row>
    <row r="12" spans="2:9" ht="15" customHeight="1" x14ac:dyDescent="0.2">
      <c r="B12" s="35" t="s">
        <v>232</v>
      </c>
      <c r="F12" s="101">
        <f>MEDIAN(F5,F6,F7,F8,F9)</f>
        <v>2.2000000000000002</v>
      </c>
      <c r="G12" s="101">
        <f>MEDIAN(G5,G6,G7,G8,G9)</f>
        <v>14</v>
      </c>
      <c r="H12" s="111">
        <f>MEDIAN(H5,H7,H8,H9)</f>
        <v>0.32</v>
      </c>
    </row>
    <row r="14" spans="2:9" ht="19.5" customHeight="1" x14ac:dyDescent="0.2">
      <c r="B14" s="6" t="s">
        <v>233</v>
      </c>
      <c r="C14" s="6"/>
      <c r="D14" s="6"/>
      <c r="E14" s="6"/>
      <c r="F14" s="6"/>
      <c r="G14" s="6"/>
      <c r="H14" s="6"/>
      <c r="I14" s="6"/>
    </row>
    <row r="15" spans="2:9" ht="23.25" customHeight="1" x14ac:dyDescent="0.2">
      <c r="B15" s="29" t="s">
        <v>234</v>
      </c>
      <c r="E15" s="78">
        <f>F12*'Cucinelli Financials'!H6</f>
        <v>2816</v>
      </c>
    </row>
    <row r="16" spans="2:9" ht="23.25" customHeight="1" x14ac:dyDescent="0.2">
      <c r="B16" s="32" t="s">
        <v>235</v>
      </c>
      <c r="E16" s="22">
        <f>G12*'Cucinelli Financials'!H12</f>
        <v>4844</v>
      </c>
    </row>
    <row r="18" spans="1:9" ht="23.25" customHeight="1" x14ac:dyDescent="0.2">
      <c r="B18" s="35" t="s">
        <v>236</v>
      </c>
      <c r="E18" s="83">
        <f>(E15-'Deal Overview'!$C$15)/'Deal Overview'!$C$13</f>
        <v>40.75</v>
      </c>
    </row>
    <row r="19" spans="1:9" ht="23.25" customHeight="1" x14ac:dyDescent="0.2">
      <c r="B19" s="35" t="s">
        <v>237</v>
      </c>
      <c r="E19" s="83">
        <f>(E16-'Deal Overview'!$C$15)/'Deal Overview'!$C$13</f>
        <v>70.57352941176471</v>
      </c>
    </row>
    <row r="21" spans="1:9" ht="18" customHeight="1" x14ac:dyDescent="0.2">
      <c r="B21" s="2" t="s">
        <v>238</v>
      </c>
      <c r="C21" s="2"/>
      <c r="D21" s="2"/>
      <c r="E21" s="2"/>
      <c r="F21" s="2"/>
      <c r="G21" s="2"/>
      <c r="H21" s="2"/>
      <c r="I21" s="2"/>
    </row>
    <row r="22" spans="1:9" ht="15" customHeight="1" x14ac:dyDescent="0.2">
      <c r="B22" s="2"/>
      <c r="C22" s="2"/>
      <c r="D22" s="2"/>
      <c r="E22" s="2"/>
      <c r="F22" s="2"/>
      <c r="G22" s="2"/>
      <c r="H22" s="2"/>
      <c r="I22" s="2"/>
    </row>
    <row r="24" spans="1:9" ht="15" customHeight="1" x14ac:dyDescent="0.2">
      <c r="A24" s="4" t="s">
        <v>35</v>
      </c>
      <c r="B24" s="4"/>
      <c r="C24" s="4"/>
      <c r="D24" s="4"/>
      <c r="E24" s="4"/>
      <c r="F24" s="4"/>
      <c r="G24" s="4"/>
      <c r="H24" s="4"/>
      <c r="I24" s="4"/>
    </row>
  </sheetData>
  <mergeCells count="4">
    <mergeCell ref="B2:I2"/>
    <mergeCell ref="B14:I14"/>
    <mergeCell ref="B21:I22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B3F00"/>
  </sheetPr>
  <dimension ref="A2:H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1" sqref="F21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3" width="16" customWidth="1"/>
    <col min="4" max="4" width="14" customWidth="1"/>
    <col min="5" max="5" width="5" customWidth="1"/>
    <col min="6" max="6" width="36" customWidth="1"/>
    <col min="7" max="7" width="16" customWidth="1"/>
    <col min="8" max="8" width="14" customWidth="1"/>
  </cols>
  <sheetData>
    <row r="2" spans="2:8" ht="24" customHeight="1" x14ac:dyDescent="0.2">
      <c r="B2" s="9" t="s">
        <v>239</v>
      </c>
      <c r="C2" s="9"/>
      <c r="D2" s="9"/>
      <c r="E2" s="9"/>
      <c r="F2" s="9"/>
      <c r="G2" s="9"/>
      <c r="H2" s="9"/>
    </row>
    <row r="4" spans="2:8" ht="19.5" customHeight="1" x14ac:dyDescent="0.2">
      <c r="B4" s="28" t="s">
        <v>240</v>
      </c>
      <c r="C4" s="28" t="s">
        <v>30</v>
      </c>
      <c r="D4" s="28" t="s">
        <v>31</v>
      </c>
      <c r="F4" s="28" t="s">
        <v>241</v>
      </c>
      <c r="G4" s="28" t="s">
        <v>30</v>
      </c>
      <c r="H4" s="28" t="s">
        <v>31</v>
      </c>
    </row>
    <row r="5" spans="2:8" ht="15" customHeight="1" x14ac:dyDescent="0.2">
      <c r="B5" s="32" t="s">
        <v>242</v>
      </c>
      <c r="C5" s="33">
        <v>500</v>
      </c>
      <c r="D5" s="51">
        <f>C5/C10</f>
        <v>5.8823529411764705E-2</v>
      </c>
      <c r="F5" s="32" t="s">
        <v>243</v>
      </c>
      <c r="G5" s="33">
        <v>8500</v>
      </c>
      <c r="H5" s="51">
        <f>G5/G10</f>
        <v>1</v>
      </c>
    </row>
    <row r="6" spans="2:8" ht="15" customHeight="1" x14ac:dyDescent="0.2">
      <c r="B6" s="29" t="s">
        <v>244</v>
      </c>
      <c r="C6" s="30">
        <v>1500</v>
      </c>
      <c r="D6" s="46">
        <f>C6/C10</f>
        <v>0.17647058823529413</v>
      </c>
      <c r="F6" s="29" t="s">
        <v>245</v>
      </c>
      <c r="G6" s="30">
        <f>'Cucinelli Financials'!H40</f>
        <v>95</v>
      </c>
      <c r="H6" s="46">
        <f>G6/G10</f>
        <v>1.1176470588235295E-2</v>
      </c>
    </row>
    <row r="7" spans="2:8" ht="15" customHeight="1" x14ac:dyDescent="0.2">
      <c r="B7" s="32" t="s">
        <v>246</v>
      </c>
      <c r="C7" s="33">
        <v>1600</v>
      </c>
      <c r="D7" s="51">
        <f>C7/C10</f>
        <v>0.18823529411764706</v>
      </c>
      <c r="F7" s="32" t="s">
        <v>247</v>
      </c>
      <c r="G7" s="22">
        <f>G5*$C$22</f>
        <v>127.5</v>
      </c>
      <c r="H7" s="51">
        <f>G7/G10</f>
        <v>1.4999999999999999E-2</v>
      </c>
    </row>
    <row r="8" spans="2:8" ht="15" customHeight="1" x14ac:dyDescent="0.2">
      <c r="B8" s="29" t="s">
        <v>248</v>
      </c>
      <c r="C8" s="30">
        <v>1500</v>
      </c>
      <c r="D8" s="46">
        <f>C8/C10</f>
        <v>0.17647058823529413</v>
      </c>
      <c r="F8" s="29" t="s">
        <v>249</v>
      </c>
      <c r="G8" s="78">
        <f>(C5+C6+C7)*$C$23</f>
        <v>72</v>
      </c>
      <c r="H8" s="46">
        <f>G8/G10</f>
        <v>8.4705882352941169E-3</v>
      </c>
    </row>
    <row r="9" spans="2:8" ht="15" customHeight="1" x14ac:dyDescent="0.2">
      <c r="B9" s="32" t="s">
        <v>250</v>
      </c>
      <c r="C9" s="33">
        <v>3400</v>
      </c>
      <c r="D9" s="51">
        <f>C9/C10</f>
        <v>0.4</v>
      </c>
      <c r="F9" s="32" t="s">
        <v>251</v>
      </c>
      <c r="G9" s="22">
        <f>C10-G5-G6-G7-G8</f>
        <v>-294.5</v>
      </c>
      <c r="H9" s="51">
        <f>G9/G10</f>
        <v>-3.4647058823529413E-2</v>
      </c>
    </row>
    <row r="10" spans="2:8" ht="15" customHeight="1" x14ac:dyDescent="0.2">
      <c r="B10" s="35" t="s">
        <v>252</v>
      </c>
      <c r="C10" s="36">
        <f>SUM(C5:C9)</f>
        <v>8500</v>
      </c>
      <c r="D10" s="111">
        <v>1</v>
      </c>
      <c r="F10" s="35" t="s">
        <v>253</v>
      </c>
      <c r="G10" s="36">
        <f>SUM(G5:G9)</f>
        <v>8500</v>
      </c>
      <c r="H10" s="111">
        <v>1</v>
      </c>
    </row>
    <row r="12" spans="2:8" ht="15" customHeight="1" x14ac:dyDescent="0.2">
      <c r="B12" s="15" t="s">
        <v>254</v>
      </c>
      <c r="C12" s="112">
        <f>C10-G10</f>
        <v>0</v>
      </c>
      <c r="F12" s="63" t="s">
        <v>255</v>
      </c>
    </row>
    <row r="14" spans="2:8" ht="19.5" customHeight="1" x14ac:dyDescent="0.2">
      <c r="B14" s="6" t="s">
        <v>256</v>
      </c>
      <c r="C14" s="6"/>
      <c r="D14" s="6"/>
      <c r="E14" s="6"/>
      <c r="F14" s="6"/>
      <c r="G14" s="6"/>
      <c r="H14" s="6"/>
    </row>
    <row r="15" spans="2:8" ht="23.25" customHeight="1" x14ac:dyDescent="0.2">
      <c r="B15" s="28" t="s">
        <v>257</v>
      </c>
      <c r="C15" s="28" t="s">
        <v>30</v>
      </c>
      <c r="D15" s="28" t="s">
        <v>258</v>
      </c>
      <c r="E15" s="28" t="s">
        <v>259</v>
      </c>
    </row>
    <row r="16" spans="2:8" ht="15" customHeight="1" x14ac:dyDescent="0.2">
      <c r="B16" s="29" t="s">
        <v>260</v>
      </c>
      <c r="C16" s="30">
        <v>500</v>
      </c>
      <c r="D16" s="113">
        <v>0.04</v>
      </c>
      <c r="E16" s="148">
        <v>2031</v>
      </c>
    </row>
    <row r="17" spans="1:8" ht="15" customHeight="1" x14ac:dyDescent="0.2">
      <c r="B17" s="32" t="s">
        <v>261</v>
      </c>
      <c r="C17" s="33">
        <v>1500</v>
      </c>
      <c r="D17" s="114">
        <v>4.4999999999999998E-2</v>
      </c>
      <c r="E17" s="149">
        <v>2031</v>
      </c>
    </row>
    <row r="18" spans="1:8" ht="15" customHeight="1" x14ac:dyDescent="0.2">
      <c r="B18" s="29" t="s">
        <v>262</v>
      </c>
      <c r="C18" s="30">
        <v>1600</v>
      </c>
      <c r="D18" s="113">
        <v>5.5E-2</v>
      </c>
      <c r="E18" s="148">
        <v>2033</v>
      </c>
    </row>
    <row r="19" spans="1:8" ht="23.25" customHeight="1" x14ac:dyDescent="0.2">
      <c r="B19" s="32" t="s">
        <v>263</v>
      </c>
      <c r="C19" s="33">
        <v>9000</v>
      </c>
      <c r="D19" s="114">
        <v>3.5000000000000003E-2</v>
      </c>
      <c r="E19" s="115" t="s">
        <v>264</v>
      </c>
    </row>
    <row r="20" spans="1:8" ht="15" customHeight="1" x14ac:dyDescent="0.2">
      <c r="B20" s="35" t="s">
        <v>265</v>
      </c>
      <c r="C20" s="36">
        <f>SUM(C16:C19)</f>
        <v>12600</v>
      </c>
      <c r="D20" s="116"/>
    </row>
    <row r="21" spans="1:8" ht="18" customHeight="1" x14ac:dyDescent="0.2">
      <c r="B21" s="13" t="s">
        <v>266</v>
      </c>
      <c r="C21" s="26">
        <f>C20/('Trading Comps'!F10*1000+'Cucinelli Financials'!H12)</f>
        <v>2.6000825423029301</v>
      </c>
      <c r="E21" s="18" t="s">
        <v>267</v>
      </c>
    </row>
    <row r="22" spans="1:8" ht="18" customHeight="1" x14ac:dyDescent="0.2">
      <c r="B22" s="117" t="s">
        <v>268</v>
      </c>
      <c r="C22" s="118">
        <v>1.4999999999999999E-2</v>
      </c>
    </row>
    <row r="23" spans="1:8" ht="15" customHeight="1" x14ac:dyDescent="0.2">
      <c r="B23" s="119" t="s">
        <v>269</v>
      </c>
      <c r="C23" s="118">
        <v>0.02</v>
      </c>
    </row>
    <row r="24" spans="1:8" ht="15" customHeight="1" x14ac:dyDescent="0.2">
      <c r="A24" s="4" t="s">
        <v>35</v>
      </c>
      <c r="B24" s="4"/>
      <c r="C24" s="4"/>
      <c r="D24" s="4"/>
      <c r="E24" s="4"/>
      <c r="F24" s="4"/>
      <c r="G24" s="4"/>
      <c r="H24" s="4"/>
    </row>
  </sheetData>
  <mergeCells count="3">
    <mergeCell ref="B2:H2"/>
    <mergeCell ref="B14:H14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B3F00"/>
  </sheetPr>
  <dimension ref="A2:G40"/>
  <sheetViews>
    <sheetView showGridLines="0" zoomScaleNormal="100" workbookViewId="0">
      <pane xSplit="2" ySplit="5" topLeftCell="C35" activePane="bottomRight" state="frozen"/>
      <selection pane="topRight" activeCell="C1" sqref="C1"/>
      <selection pane="bottomLeft" activeCell="A6" sqref="A6"/>
      <selection pane="bottomRight" activeCell="E8" sqref="E8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6" width="14" customWidth="1"/>
    <col min="7" max="7" width="36" customWidth="1"/>
  </cols>
  <sheetData>
    <row r="2" spans="2:7" ht="24" customHeight="1" x14ac:dyDescent="0.2">
      <c r="B2" s="9" t="s">
        <v>270</v>
      </c>
      <c r="C2" s="9"/>
      <c r="D2" s="9"/>
      <c r="E2" s="9"/>
      <c r="F2" s="9"/>
      <c r="G2" s="9"/>
    </row>
    <row r="4" spans="2:7" ht="19.5" customHeight="1" x14ac:dyDescent="0.2">
      <c r="B4" s="6" t="s">
        <v>271</v>
      </c>
      <c r="C4" s="6"/>
      <c r="D4" s="6"/>
      <c r="E4" s="6"/>
      <c r="F4" s="6"/>
      <c r="G4" s="6"/>
    </row>
    <row r="5" spans="2:7" ht="15" customHeight="1" x14ac:dyDescent="0.2">
      <c r="B5" s="28" t="s">
        <v>272</v>
      </c>
      <c r="C5" s="28" t="s">
        <v>273</v>
      </c>
      <c r="D5" s="28" t="s">
        <v>100</v>
      </c>
    </row>
    <row r="6" spans="2:7" ht="18" customHeight="1" x14ac:dyDescent="0.2">
      <c r="B6" s="29" t="s">
        <v>274</v>
      </c>
      <c r="C6" s="30">
        <v>35</v>
      </c>
      <c r="D6" s="41" t="s">
        <v>275</v>
      </c>
    </row>
    <row r="7" spans="2:7" ht="18" customHeight="1" x14ac:dyDescent="0.2">
      <c r="B7" s="32" t="s">
        <v>276</v>
      </c>
      <c r="C7" s="33">
        <v>25</v>
      </c>
      <c r="D7" s="45" t="s">
        <v>277</v>
      </c>
    </row>
    <row r="8" spans="2:7" ht="27.75" customHeight="1" x14ac:dyDescent="0.2">
      <c r="B8" s="29" t="s">
        <v>278</v>
      </c>
      <c r="C8" s="30">
        <v>20</v>
      </c>
      <c r="D8" s="41" t="s">
        <v>279</v>
      </c>
    </row>
    <row r="9" spans="2:7" ht="27.75" customHeight="1" x14ac:dyDescent="0.2">
      <c r="B9" s="32" t="s">
        <v>280</v>
      </c>
      <c r="C9" s="33">
        <v>10</v>
      </c>
      <c r="D9" s="45" t="s">
        <v>281</v>
      </c>
    </row>
    <row r="10" spans="2:7" ht="18.75" customHeight="1" x14ac:dyDescent="0.2">
      <c r="B10" s="29" t="s">
        <v>282</v>
      </c>
      <c r="C10" s="30">
        <v>10</v>
      </c>
      <c r="D10" s="41" t="s">
        <v>283</v>
      </c>
    </row>
    <row r="11" spans="2:7" ht="18" customHeight="1" x14ac:dyDescent="0.2">
      <c r="B11" s="35" t="s">
        <v>284</v>
      </c>
      <c r="C11" s="36">
        <f>SUM(C6:C10)</f>
        <v>100</v>
      </c>
    </row>
    <row r="13" spans="2:7" ht="19.5" customHeight="1" x14ac:dyDescent="0.2">
      <c r="B13" s="6" t="s">
        <v>285</v>
      </c>
      <c r="C13" s="6"/>
      <c r="D13" s="6"/>
      <c r="E13" s="6"/>
      <c r="F13" s="6"/>
      <c r="G13" s="6"/>
    </row>
    <row r="14" spans="2:7" ht="15" customHeight="1" x14ac:dyDescent="0.2">
      <c r="B14" s="28" t="s">
        <v>272</v>
      </c>
      <c r="C14" s="28" t="s">
        <v>273</v>
      </c>
      <c r="D14" s="28" t="s">
        <v>100</v>
      </c>
    </row>
    <row r="15" spans="2:7" ht="27.75" customHeight="1" x14ac:dyDescent="0.2">
      <c r="B15" s="32" t="s">
        <v>286</v>
      </c>
      <c r="C15" s="33">
        <v>15</v>
      </c>
      <c r="D15" s="45" t="s">
        <v>287</v>
      </c>
    </row>
    <row r="16" spans="2:7" ht="27.75" customHeight="1" x14ac:dyDescent="0.2">
      <c r="B16" s="29" t="s">
        <v>288</v>
      </c>
      <c r="C16" s="30">
        <v>10</v>
      </c>
      <c r="D16" s="41" t="s">
        <v>289</v>
      </c>
    </row>
    <row r="17" spans="2:7" ht="18" customHeight="1" x14ac:dyDescent="0.2">
      <c r="B17" s="32" t="s">
        <v>290</v>
      </c>
      <c r="C17" s="33">
        <v>5</v>
      </c>
      <c r="D17" s="45" t="s">
        <v>291</v>
      </c>
    </row>
    <row r="18" spans="2:7" ht="18" customHeight="1" x14ac:dyDescent="0.2">
      <c r="B18" s="35" t="s">
        <v>292</v>
      </c>
      <c r="C18" s="36">
        <f>SUM(C15:C17)</f>
        <v>30</v>
      </c>
    </row>
    <row r="20" spans="2:7" ht="23.25" customHeight="1" x14ac:dyDescent="0.2">
      <c r="B20" s="35" t="s">
        <v>293</v>
      </c>
      <c r="C20" s="36">
        <f>C11+C18</f>
        <v>130</v>
      </c>
    </row>
    <row r="22" spans="2:7" ht="19.5" customHeight="1" x14ac:dyDescent="0.2">
      <c r="B22" s="6" t="s">
        <v>294</v>
      </c>
      <c r="C22" s="6"/>
      <c r="D22" s="6"/>
      <c r="E22" s="6"/>
      <c r="F22" s="6"/>
      <c r="G22" s="6"/>
    </row>
    <row r="23" spans="2:7" ht="15" customHeight="1" x14ac:dyDescent="0.2">
      <c r="B23" s="28"/>
      <c r="C23" s="28" t="s">
        <v>295</v>
      </c>
      <c r="D23" s="28" t="s">
        <v>296</v>
      </c>
      <c r="E23" s="28" t="s">
        <v>297</v>
      </c>
      <c r="F23" s="28" t="s">
        <v>298</v>
      </c>
    </row>
    <row r="24" spans="2:7" ht="15" customHeight="1" x14ac:dyDescent="0.2">
      <c r="B24" s="29" t="s">
        <v>299</v>
      </c>
      <c r="C24" s="120">
        <v>0.35</v>
      </c>
      <c r="D24" s="120">
        <v>0.65</v>
      </c>
      <c r="E24" s="120">
        <v>0.9</v>
      </c>
      <c r="F24" s="120">
        <v>1</v>
      </c>
    </row>
    <row r="25" spans="2:7" ht="15" customHeight="1" x14ac:dyDescent="0.2">
      <c r="B25" s="32" t="s">
        <v>300</v>
      </c>
      <c r="C25" s="80">
        <f>C11*C24</f>
        <v>35</v>
      </c>
      <c r="D25" s="80">
        <f>C11*D24</f>
        <v>65</v>
      </c>
      <c r="E25" s="80">
        <f>C11*E24</f>
        <v>90</v>
      </c>
      <c r="F25" s="80">
        <f>C11*F24</f>
        <v>100</v>
      </c>
    </row>
    <row r="26" spans="2:7" ht="15" customHeight="1" x14ac:dyDescent="0.2">
      <c r="B26" s="29" t="s">
        <v>301</v>
      </c>
      <c r="C26" s="81">
        <f>C18*C24</f>
        <v>10.5</v>
      </c>
      <c r="D26" s="81">
        <f>C18*D24</f>
        <v>19.5</v>
      </c>
      <c r="E26" s="81">
        <f>C18*E24</f>
        <v>27</v>
      </c>
      <c r="F26" s="81">
        <f>C18*F24</f>
        <v>30</v>
      </c>
    </row>
    <row r="27" spans="2:7" ht="15" customHeight="1" x14ac:dyDescent="0.2">
      <c r="B27" s="15" t="s">
        <v>302</v>
      </c>
      <c r="C27" s="22">
        <f>C25+C26</f>
        <v>45.5</v>
      </c>
      <c r="D27" s="22">
        <f>D25+D26</f>
        <v>84.5</v>
      </c>
      <c r="E27" s="22">
        <f>E25+E26</f>
        <v>117</v>
      </c>
      <c r="F27" s="22">
        <f>F25+F26</f>
        <v>130</v>
      </c>
    </row>
    <row r="28" spans="2:7" ht="18" customHeight="1" x14ac:dyDescent="0.2">
      <c r="B28" s="29" t="s">
        <v>303</v>
      </c>
      <c r="C28" s="81">
        <f>C27*(1-'DCF Valuation'!$C$10)</f>
        <v>33.67</v>
      </c>
      <c r="D28" s="81">
        <f>D27*(1-'DCF Valuation'!$C$10)</f>
        <v>62.53</v>
      </c>
      <c r="E28" s="81">
        <f>E27*(1-'DCF Valuation'!$C$10)</f>
        <v>86.58</v>
      </c>
      <c r="F28" s="81">
        <f>F27*(1-'DCF Valuation'!$C$10)</f>
        <v>96.2</v>
      </c>
    </row>
    <row r="29" spans="2:7" ht="15" customHeight="1" x14ac:dyDescent="0.2">
      <c r="B29" s="32" t="s">
        <v>304</v>
      </c>
      <c r="C29" s="33">
        <v>80</v>
      </c>
      <c r="D29" s="33">
        <v>40</v>
      </c>
      <c r="E29" s="33">
        <v>10</v>
      </c>
      <c r="F29" s="33">
        <v>0</v>
      </c>
    </row>
    <row r="30" spans="2:7" ht="15" customHeight="1" x14ac:dyDescent="0.2">
      <c r="B30" s="35" t="s">
        <v>305</v>
      </c>
      <c r="C30" s="36">
        <f>C28-C29</f>
        <v>-46.33</v>
      </c>
      <c r="D30" s="36">
        <f>D28-D29</f>
        <v>22.53</v>
      </c>
      <c r="E30" s="36">
        <f>E28-E29</f>
        <v>76.58</v>
      </c>
      <c r="F30" s="36">
        <f>F28-F29</f>
        <v>96.2</v>
      </c>
    </row>
    <row r="32" spans="2:7" ht="19.5" customHeight="1" x14ac:dyDescent="0.2">
      <c r="B32" s="6" t="s">
        <v>306</v>
      </c>
      <c r="C32" s="6"/>
      <c r="D32" s="6"/>
      <c r="E32" s="6"/>
      <c r="F32" s="6"/>
      <c r="G32" s="6"/>
    </row>
    <row r="33" spans="1:7" ht="15" customHeight="1" x14ac:dyDescent="0.2">
      <c r="B33" s="59" t="s">
        <v>307</v>
      </c>
      <c r="C33" s="60">
        <f>'DCF Valuation'!C14</f>
        <v>8.5415699999999997E-2</v>
      </c>
    </row>
    <row r="34" spans="1:7" ht="23.25" customHeight="1" x14ac:dyDescent="0.2">
      <c r="B34" s="15" t="s">
        <v>308</v>
      </c>
      <c r="C34" s="22">
        <f>C28/(1+C33)^1+D28/(1+C33)^2+E28/(1+C33)^3+F28/C33/(1+C33)^3</f>
        <v>1032.5452023112571</v>
      </c>
      <c r="D34" s="63" t="s">
        <v>309</v>
      </c>
    </row>
    <row r="35" spans="1:7" ht="15" customHeight="1" x14ac:dyDescent="0.2">
      <c r="B35" s="32" t="s">
        <v>310</v>
      </c>
      <c r="C35" s="80">
        <f>C29/(1+C33)+D29/(1+C33)^2+E29/(1+C33)^3</f>
        <v>115.47675938629023</v>
      </c>
    </row>
    <row r="36" spans="1:7" ht="15" customHeight="1" x14ac:dyDescent="0.2">
      <c r="B36" s="35" t="s">
        <v>311</v>
      </c>
      <c r="C36" s="36">
        <f>C34-C35</f>
        <v>917.0684429249668</v>
      </c>
    </row>
    <row r="37" spans="1:7" ht="18" customHeight="1" x14ac:dyDescent="0.2">
      <c r="B37" s="13" t="s">
        <v>312</v>
      </c>
      <c r="C37" s="121">
        <f>C36/'Deal Overview'!$C$13</f>
        <v>13.486300631249511</v>
      </c>
    </row>
    <row r="40" spans="1:7" ht="15" customHeight="1" x14ac:dyDescent="0.2">
      <c r="A40" s="4" t="s">
        <v>35</v>
      </c>
      <c r="B40" s="4"/>
      <c r="C40" s="4"/>
      <c r="D40" s="4"/>
      <c r="E40" s="4"/>
      <c r="F40" s="4"/>
      <c r="G40" s="4"/>
    </row>
  </sheetData>
  <mergeCells count="6">
    <mergeCell ref="A40:G40"/>
    <mergeCell ref="B2:G2"/>
    <mergeCell ref="B4:G4"/>
    <mergeCell ref="B13:G13"/>
    <mergeCell ref="B22:G22"/>
    <mergeCell ref="B32:G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B3F00"/>
  </sheetPr>
  <dimension ref="A2:F3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6" width="16" customWidth="1"/>
  </cols>
  <sheetData>
    <row r="2" spans="2:6" ht="24" customHeight="1" x14ac:dyDescent="0.2">
      <c r="B2" s="9" t="s">
        <v>313</v>
      </c>
      <c r="C2" s="9"/>
      <c r="D2" s="9"/>
      <c r="E2" s="9"/>
      <c r="F2" s="9"/>
    </row>
    <row r="4" spans="2:6" ht="19.5" customHeight="1" x14ac:dyDescent="0.2">
      <c r="B4" s="6" t="s">
        <v>314</v>
      </c>
      <c r="C4" s="6"/>
      <c r="D4" s="6"/>
      <c r="E4" s="6"/>
      <c r="F4" s="6"/>
    </row>
    <row r="5" spans="2:6" ht="15" customHeight="1" x14ac:dyDescent="0.2">
      <c r="B5" s="59" t="s">
        <v>315</v>
      </c>
      <c r="C5" s="122">
        <f>'Deal Overview'!C14</f>
        <v>8500</v>
      </c>
    </row>
    <row r="6" spans="2:6" ht="15" customHeight="1" x14ac:dyDescent="0.2">
      <c r="B6" s="32" t="s">
        <v>316</v>
      </c>
      <c r="C6" s="22">
        <f>C5*'Deal Overview'!$D$29</f>
        <v>5100</v>
      </c>
    </row>
    <row r="7" spans="2:6" ht="15" customHeight="1" x14ac:dyDescent="0.2">
      <c r="B7" s="32" t="s">
        <v>317</v>
      </c>
      <c r="C7" s="22">
        <f>C5*'Deal Overview'!$D$30</f>
        <v>3400</v>
      </c>
    </row>
    <row r="8" spans="2:6" ht="15" customHeight="1" x14ac:dyDescent="0.2">
      <c r="B8" s="59" t="s">
        <v>318</v>
      </c>
      <c r="C8" s="123">
        <v>167.5</v>
      </c>
    </row>
    <row r="9" spans="2:6" ht="15" customHeight="1" x14ac:dyDescent="0.2">
      <c r="B9" s="32" t="s">
        <v>319</v>
      </c>
      <c r="C9" s="124">
        <f>C7/C8</f>
        <v>20.298507462686569</v>
      </c>
    </row>
    <row r="10" spans="2:6" ht="15" customHeight="1" x14ac:dyDescent="0.2">
      <c r="B10" s="59" t="s">
        <v>320</v>
      </c>
      <c r="C10" s="97">
        <v>122</v>
      </c>
    </row>
    <row r="11" spans="2:6" ht="15" customHeight="1" x14ac:dyDescent="0.2">
      <c r="B11" s="15" t="s">
        <v>321</v>
      </c>
      <c r="C11" s="125">
        <f>C10+C9</f>
        <v>142.29850746268656</v>
      </c>
    </row>
    <row r="13" spans="2:6" ht="15" customHeight="1" x14ac:dyDescent="0.2">
      <c r="B13" s="59" t="s">
        <v>322</v>
      </c>
      <c r="C13" s="122">
        <v>1500</v>
      </c>
    </row>
    <row r="14" spans="2:6" ht="15" customHeight="1" x14ac:dyDescent="0.2">
      <c r="B14" s="32" t="s">
        <v>323</v>
      </c>
      <c r="C14" s="22">
        <f>C6-C13</f>
        <v>3600</v>
      </c>
    </row>
    <row r="15" spans="2:6" ht="18" customHeight="1" x14ac:dyDescent="0.2">
      <c r="B15" s="59" t="s">
        <v>324</v>
      </c>
      <c r="C15" s="60">
        <v>4.8000000000000001E-2</v>
      </c>
    </row>
    <row r="16" spans="2:6" ht="15" customHeight="1" x14ac:dyDescent="0.2">
      <c r="B16" s="59" t="s">
        <v>113</v>
      </c>
      <c r="C16" s="60">
        <v>0.26</v>
      </c>
    </row>
    <row r="17" spans="2:6" ht="18" customHeight="1" x14ac:dyDescent="0.2">
      <c r="B17" s="32" t="s">
        <v>325</v>
      </c>
      <c r="C17" s="22">
        <f>C14*C15*(1-C16)</f>
        <v>127.872</v>
      </c>
    </row>
    <row r="19" spans="2:6" ht="19.5" customHeight="1" x14ac:dyDescent="0.2">
      <c r="B19" s="6" t="s">
        <v>326</v>
      </c>
      <c r="C19" s="6"/>
      <c r="D19" s="6"/>
      <c r="E19" s="6"/>
      <c r="F19" s="6"/>
    </row>
    <row r="20" spans="2:6" ht="15" customHeight="1" x14ac:dyDescent="0.2">
      <c r="B20" s="28"/>
      <c r="C20" s="28" t="s">
        <v>327</v>
      </c>
      <c r="D20" s="28" t="s">
        <v>328</v>
      </c>
      <c r="E20" s="28" t="s">
        <v>329</v>
      </c>
      <c r="F20" s="28" t="s">
        <v>330</v>
      </c>
    </row>
    <row r="21" spans="2:6" ht="15" customHeight="1" x14ac:dyDescent="0.2">
      <c r="B21" s="42" t="s">
        <v>331</v>
      </c>
      <c r="C21" s="33">
        <v>2100</v>
      </c>
      <c r="D21" s="33">
        <v>2100</v>
      </c>
      <c r="E21" s="33">
        <v>2163</v>
      </c>
      <c r="F21" s="33">
        <v>2228</v>
      </c>
    </row>
    <row r="22" spans="2:6" ht="15" customHeight="1" x14ac:dyDescent="0.2">
      <c r="B22" s="29" t="s">
        <v>332</v>
      </c>
      <c r="C22" s="109" t="s">
        <v>333</v>
      </c>
      <c r="D22" s="76">
        <f>Projections!C29</f>
        <v>218.32664</v>
      </c>
      <c r="E22" s="76">
        <f>Projections!D29</f>
        <v>245.11949439999998</v>
      </c>
      <c r="F22" s="76">
        <f>Projections!E29</f>
        <v>272.36954329599996</v>
      </c>
    </row>
    <row r="23" spans="2:6" ht="15" customHeight="1" x14ac:dyDescent="0.2">
      <c r="B23" s="15" t="s">
        <v>334</v>
      </c>
      <c r="C23" s="126" t="s">
        <v>333</v>
      </c>
      <c r="D23" s="127">
        <f>'Synergy Analysis'!C28</f>
        <v>33.67</v>
      </c>
      <c r="E23" s="127">
        <f>'Synergy Analysis'!D28</f>
        <v>62.53</v>
      </c>
      <c r="F23" s="127">
        <f>'Synergy Analysis'!E28</f>
        <v>86.58</v>
      </c>
    </row>
    <row r="24" spans="2:6" ht="15" customHeight="1" x14ac:dyDescent="0.2">
      <c r="B24" s="29" t="s">
        <v>335</v>
      </c>
      <c r="C24" s="109" t="s">
        <v>333</v>
      </c>
      <c r="D24" s="81">
        <f>-$C$17</f>
        <v>-127.872</v>
      </c>
      <c r="E24" s="81">
        <f>-$C$17</f>
        <v>-127.872</v>
      </c>
      <c r="F24" s="81">
        <f>-$C$17</f>
        <v>-127.872</v>
      </c>
    </row>
    <row r="25" spans="2:6" ht="18" customHeight="1" x14ac:dyDescent="0.2">
      <c r="B25" s="128" t="s">
        <v>336</v>
      </c>
      <c r="C25" s="126" t="s">
        <v>333</v>
      </c>
      <c r="D25" s="129">
        <f>-'Synergy Analysis'!C29*(1-$C$16)</f>
        <v>-59.2</v>
      </c>
      <c r="E25" s="129">
        <f>-'Synergy Analysis'!D29*(1-$C$16)</f>
        <v>-29.6</v>
      </c>
      <c r="F25" s="129">
        <f>-'Synergy Analysis'!E29*(1-$C$16)</f>
        <v>-7.4</v>
      </c>
    </row>
    <row r="26" spans="2:6" ht="15" customHeight="1" x14ac:dyDescent="0.2">
      <c r="B26" s="13" t="s">
        <v>337</v>
      </c>
      <c r="C26" s="24">
        <f>C21</f>
        <v>2100</v>
      </c>
      <c r="D26" s="24">
        <f>D21+D22+D23+D24+D25</f>
        <v>2164.9246400000006</v>
      </c>
      <c r="E26" s="24">
        <f>E21+E22+E23+E24+E25</f>
        <v>2313.1774944000003</v>
      </c>
      <c r="F26" s="24">
        <f>F21+F22+F23+F24+F25</f>
        <v>2451.6775432959998</v>
      </c>
    </row>
    <row r="27" spans="2:6" ht="15" customHeight="1" x14ac:dyDescent="0.2">
      <c r="B27" s="32" t="s">
        <v>14</v>
      </c>
      <c r="C27" s="95">
        <v>122</v>
      </c>
      <c r="D27" s="130">
        <f>$C$11</f>
        <v>142.29850746268656</v>
      </c>
      <c r="E27" s="130">
        <f>$C$11</f>
        <v>142.29850746268656</v>
      </c>
      <c r="F27" s="130">
        <f>$C$11</f>
        <v>142.29850746268656</v>
      </c>
    </row>
    <row r="28" spans="2:6" ht="15" customHeight="1" x14ac:dyDescent="0.2">
      <c r="B28" s="35" t="s">
        <v>338</v>
      </c>
      <c r="C28" s="83">
        <f>C26/C27</f>
        <v>17.21311475409836</v>
      </c>
      <c r="D28" s="83">
        <f>D26/D27</f>
        <v>15.213965898888196</v>
      </c>
      <c r="E28" s="83">
        <f>E26/E27</f>
        <v>16.255809956450602</v>
      </c>
      <c r="F28" s="83">
        <f>F26/F27</f>
        <v>17.229116362579401</v>
      </c>
    </row>
    <row r="29" spans="2:6" ht="15" customHeight="1" x14ac:dyDescent="0.2">
      <c r="B29" s="13" t="s">
        <v>339</v>
      </c>
      <c r="C29" s="83"/>
      <c r="D29" s="83">
        <f>D28-$C$28</f>
        <v>-1.9991488552101639</v>
      </c>
      <c r="E29" s="83">
        <f>E28-$C$28</f>
        <v>-0.95730479764775822</v>
      </c>
      <c r="F29" s="83">
        <f>F28-$C$28</f>
        <v>1.6001608481040819E-2</v>
      </c>
    </row>
    <row r="30" spans="2:6" ht="15" customHeight="1" x14ac:dyDescent="0.2">
      <c r="B30" s="35" t="s">
        <v>340</v>
      </c>
      <c r="C30" s="131"/>
      <c r="D30" s="111">
        <f>D29/$C$28</f>
        <v>-0.11614102873125715</v>
      </c>
      <c r="E30" s="111">
        <f>E29/$C$28</f>
        <v>-5.5614850149060244E-2</v>
      </c>
      <c r="F30" s="111">
        <f>F29/$C$28</f>
        <v>9.2961725461284761E-4</v>
      </c>
    </row>
    <row r="32" spans="2:6" ht="19.5" customHeight="1" x14ac:dyDescent="0.2">
      <c r="B32" s="6" t="s">
        <v>341</v>
      </c>
      <c r="C32" s="6"/>
      <c r="D32" s="6"/>
      <c r="E32" s="6"/>
      <c r="F32" s="6"/>
    </row>
    <row r="33" spans="1:6" ht="23.25" customHeight="1" x14ac:dyDescent="0.2">
      <c r="B33" s="15" t="s">
        <v>342</v>
      </c>
      <c r="C33" s="112">
        <f>($C$28*$C$11-$C$21-D22+$C$17+'Synergy Analysis'!C29*(1-$C$16))/(1-$C$16)</f>
        <v>429.92688958398037</v>
      </c>
      <c r="E33" s="18" t="s">
        <v>343</v>
      </c>
    </row>
    <row r="35" spans="1:6" ht="18" customHeight="1" x14ac:dyDescent="0.2">
      <c r="B35" s="2" t="s">
        <v>344</v>
      </c>
      <c r="C35" s="2"/>
      <c r="D35" s="2"/>
      <c r="E35" s="2"/>
      <c r="F35" s="2"/>
    </row>
    <row r="36" spans="1:6" ht="15" customHeight="1" x14ac:dyDescent="0.2">
      <c r="B36" s="2"/>
      <c r="C36" s="2"/>
      <c r="D36" s="2"/>
      <c r="E36" s="2"/>
      <c r="F36" s="2"/>
    </row>
    <row r="38" spans="1:6" ht="15" customHeight="1" x14ac:dyDescent="0.2">
      <c r="A38" s="4" t="s">
        <v>35</v>
      </c>
      <c r="B38" s="4"/>
      <c r="C38" s="4"/>
      <c r="D38" s="4"/>
      <c r="E38" s="4"/>
      <c r="F38" s="4"/>
    </row>
  </sheetData>
  <mergeCells count="6">
    <mergeCell ref="A38:F38"/>
    <mergeCell ref="B2:F2"/>
    <mergeCell ref="B4:F4"/>
    <mergeCell ref="B19:F19"/>
    <mergeCell ref="B32:F32"/>
    <mergeCell ref="B35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73"/>
  <sheetViews>
    <sheetView topLeftCell="J1" zoomScaleNormal="100" workbookViewId="0"/>
  </sheetViews>
  <sheetFormatPr baseColWidth="10" defaultColWidth="8.6640625" defaultRowHeight="15" x14ac:dyDescent="0.2"/>
  <cols>
    <col min="1" max="1" width="4" customWidth="1"/>
    <col min="2" max="2" width="42" customWidth="1"/>
    <col min="3" max="8" width="14" customWidth="1"/>
    <col min="9" max="9" width="36" customWidth="1"/>
  </cols>
  <sheetData>
    <row r="2" spans="2:4" ht="15.75" customHeight="1" x14ac:dyDescent="0.2">
      <c r="B2" s="132" t="s">
        <v>345</v>
      </c>
    </row>
    <row r="3" spans="2:4" ht="15" customHeight="1" x14ac:dyDescent="0.2">
      <c r="B3" s="133" t="s">
        <v>346</v>
      </c>
    </row>
    <row r="5" spans="2:4" ht="15" customHeight="1" x14ac:dyDescent="0.2">
      <c r="B5" s="134" t="s">
        <v>347</v>
      </c>
      <c r="C5" s="135" t="s">
        <v>348</v>
      </c>
      <c r="D5" s="135" t="s">
        <v>349</v>
      </c>
    </row>
    <row r="6" spans="2:4" ht="15" customHeight="1" x14ac:dyDescent="0.2">
      <c r="B6" t="s">
        <v>350</v>
      </c>
      <c r="C6" s="62">
        <v>18</v>
      </c>
      <c r="D6" s="63" t="s">
        <v>351</v>
      </c>
    </row>
    <row r="7" spans="2:4" ht="15" customHeight="1" x14ac:dyDescent="0.2">
      <c r="B7" t="s">
        <v>352</v>
      </c>
      <c r="C7" s="136">
        <f>'Cucinelli Financials'!H12</f>
        <v>346</v>
      </c>
      <c r="D7" s="63" t="s">
        <v>353</v>
      </c>
    </row>
    <row r="8" spans="2:4" ht="15" customHeight="1" x14ac:dyDescent="0.2">
      <c r="B8" t="s">
        <v>354</v>
      </c>
      <c r="C8">
        <f>C6*C7</f>
        <v>6228</v>
      </c>
      <c r="D8" s="63" t="s">
        <v>355</v>
      </c>
    </row>
    <row r="9" spans="2:4" ht="15" customHeight="1" x14ac:dyDescent="0.2">
      <c r="B9" t="s">
        <v>356</v>
      </c>
      <c r="C9" s="136">
        <f>'Cucinelli Financials'!H42</f>
        <v>45</v>
      </c>
      <c r="D9" s="63" t="s">
        <v>357</v>
      </c>
    </row>
    <row r="10" spans="2:4" ht="15" customHeight="1" x14ac:dyDescent="0.2">
      <c r="B10" t="s">
        <v>358</v>
      </c>
      <c r="C10">
        <f>C8-C9</f>
        <v>6183</v>
      </c>
      <c r="D10" s="63" t="s">
        <v>359</v>
      </c>
    </row>
    <row r="12" spans="2:4" ht="15" customHeight="1" x14ac:dyDescent="0.2">
      <c r="B12" t="s">
        <v>360</v>
      </c>
      <c r="C12" s="62">
        <v>0.55000000000000004</v>
      </c>
      <c r="D12" s="63" t="s">
        <v>361</v>
      </c>
    </row>
    <row r="13" spans="2:4" ht="15" customHeight="1" x14ac:dyDescent="0.2">
      <c r="B13" t="s">
        <v>362</v>
      </c>
      <c r="C13">
        <f>C8*C12</f>
        <v>3425.4</v>
      </c>
      <c r="D13" s="63"/>
    </row>
    <row r="14" spans="2:4" ht="15" customHeight="1" x14ac:dyDescent="0.2">
      <c r="B14" t="s">
        <v>363</v>
      </c>
      <c r="C14">
        <f>C10-C13+C9</f>
        <v>2802.6</v>
      </c>
      <c r="D14" s="63" t="s">
        <v>364</v>
      </c>
    </row>
    <row r="16" spans="2:4" ht="15" customHeight="1" x14ac:dyDescent="0.2">
      <c r="B16" t="s">
        <v>365</v>
      </c>
      <c r="C16" s="62">
        <v>0.6</v>
      </c>
      <c r="D16" s="63"/>
    </row>
    <row r="17" spans="2:8" ht="15" customHeight="1" x14ac:dyDescent="0.2">
      <c r="B17" t="s">
        <v>366</v>
      </c>
      <c r="C17" s="62">
        <v>0.4</v>
      </c>
      <c r="D17" s="63"/>
    </row>
    <row r="18" spans="2:8" ht="15" customHeight="1" x14ac:dyDescent="0.2">
      <c r="B18" t="s">
        <v>367</v>
      </c>
      <c r="C18" s="62">
        <v>6.5000000000000002E-2</v>
      </c>
      <c r="D18" s="63" t="s">
        <v>368</v>
      </c>
    </row>
    <row r="19" spans="2:8" ht="15" customHeight="1" x14ac:dyDescent="0.2">
      <c r="B19" t="s">
        <v>369</v>
      </c>
      <c r="C19" s="62">
        <v>9.5000000000000001E-2</v>
      </c>
      <c r="D19" s="63" t="s">
        <v>370</v>
      </c>
    </row>
    <row r="20" spans="2:8" ht="15" customHeight="1" x14ac:dyDescent="0.2">
      <c r="B20" t="s">
        <v>371</v>
      </c>
      <c r="C20" s="62">
        <v>0.05</v>
      </c>
      <c r="D20" s="63" t="s">
        <v>372</v>
      </c>
    </row>
    <row r="22" spans="2:8" ht="15" customHeight="1" x14ac:dyDescent="0.2">
      <c r="B22" t="s">
        <v>373</v>
      </c>
      <c r="C22" s="62">
        <v>5</v>
      </c>
      <c r="D22" s="63" t="s">
        <v>374</v>
      </c>
    </row>
    <row r="23" spans="2:8" ht="15" customHeight="1" x14ac:dyDescent="0.2">
      <c r="B23" t="s">
        <v>375</v>
      </c>
      <c r="C23" s="62">
        <v>18</v>
      </c>
      <c r="D23" s="63" t="s">
        <v>376</v>
      </c>
    </row>
    <row r="24" spans="2:8" ht="15" customHeight="1" x14ac:dyDescent="0.2">
      <c r="B24" t="s">
        <v>113</v>
      </c>
      <c r="C24" s="62">
        <v>0.26</v>
      </c>
      <c r="D24" s="63" t="s">
        <v>377</v>
      </c>
    </row>
    <row r="25" spans="2:8" ht="15" customHeight="1" x14ac:dyDescent="0.2">
      <c r="B25" t="s">
        <v>378</v>
      </c>
      <c r="C25" s="62">
        <v>0.02</v>
      </c>
      <c r="D25" s="63" t="s">
        <v>379</v>
      </c>
    </row>
    <row r="27" spans="2:8" ht="15" customHeight="1" x14ac:dyDescent="0.2">
      <c r="B27" s="134" t="s">
        <v>380</v>
      </c>
    </row>
    <row r="28" spans="2:8" ht="15" customHeight="1" x14ac:dyDescent="0.2">
      <c r="C28" s="135" t="s">
        <v>381</v>
      </c>
      <c r="D28" s="135" t="s">
        <v>295</v>
      </c>
      <c r="E28" s="135" t="s">
        <v>296</v>
      </c>
      <c r="F28" s="135" t="s">
        <v>297</v>
      </c>
      <c r="G28" s="135" t="s">
        <v>382</v>
      </c>
      <c r="H28" s="135" t="s">
        <v>383</v>
      </c>
    </row>
    <row r="29" spans="2:8" ht="15" customHeight="1" x14ac:dyDescent="0.2">
      <c r="B29" t="s">
        <v>384</v>
      </c>
      <c r="C29">
        <f>C13*C16</f>
        <v>2055.2399999999998</v>
      </c>
      <c r="D29">
        <f>C29*(1-$C$20)</f>
        <v>1952.4779999999996</v>
      </c>
      <c r="E29">
        <f>D29*(1-$C$20)</f>
        <v>1854.8540999999996</v>
      </c>
      <c r="F29">
        <f>E29*(1-$C$20)</f>
        <v>1762.1113949999994</v>
      </c>
      <c r="G29">
        <f>F29*(1-$C$20)</f>
        <v>1674.0058252499994</v>
      </c>
      <c r="H29">
        <f>G29*(1-$C$20)</f>
        <v>1590.3055339874993</v>
      </c>
    </row>
    <row r="30" spans="2:8" ht="15" customHeight="1" x14ac:dyDescent="0.2">
      <c r="B30" t="s">
        <v>385</v>
      </c>
      <c r="C30">
        <f>C13*C17</f>
        <v>1370.16</v>
      </c>
      <c r="D30">
        <f>C30</f>
        <v>1370.16</v>
      </c>
      <c r="E30">
        <f>C30</f>
        <v>1370.16</v>
      </c>
      <c r="F30">
        <f>C30</f>
        <v>1370.16</v>
      </c>
      <c r="G30">
        <f>C30</f>
        <v>1370.16</v>
      </c>
      <c r="H30">
        <f>C30</f>
        <v>1370.16</v>
      </c>
    </row>
    <row r="31" spans="2:8" ht="15" customHeight="1" x14ac:dyDescent="0.2">
      <c r="B31" t="s">
        <v>82</v>
      </c>
      <c r="C31">
        <f t="shared" ref="C31:H31" si="0">SUM(C29:C30)</f>
        <v>3425.3999999999996</v>
      </c>
      <c r="D31">
        <f t="shared" si="0"/>
        <v>3322.6379999999999</v>
      </c>
      <c r="E31">
        <f t="shared" si="0"/>
        <v>3225.0140999999994</v>
      </c>
      <c r="F31">
        <f t="shared" si="0"/>
        <v>3132.2713949999998</v>
      </c>
      <c r="G31">
        <f t="shared" si="0"/>
        <v>3044.1658252499992</v>
      </c>
      <c r="H31">
        <f t="shared" si="0"/>
        <v>2960.4655339874994</v>
      </c>
    </row>
    <row r="32" spans="2:8" ht="15" customHeight="1" x14ac:dyDescent="0.2">
      <c r="B32" t="s">
        <v>386</v>
      </c>
      <c r="D32">
        <f>C29*$C$18+C30*$C$19</f>
        <v>263.75580000000002</v>
      </c>
      <c r="E32">
        <f>D29*$C$18+D30*$C$19</f>
        <v>257.07626999999997</v>
      </c>
      <c r="F32">
        <f>E29*$C$18+E30*$C$19</f>
        <v>250.73071649999997</v>
      </c>
      <c r="G32">
        <f>F29*$C$18+F30*$C$19</f>
        <v>244.70244067499996</v>
      </c>
      <c r="H32">
        <f>G29*$C$18+G30*$C$19</f>
        <v>238.97557864124997</v>
      </c>
    </row>
    <row r="33" spans="2:8" ht="15" customHeight="1" x14ac:dyDescent="0.2">
      <c r="B33" t="s">
        <v>387</v>
      </c>
      <c r="C33">
        <f>C31/C7</f>
        <v>9.8999999999999986</v>
      </c>
      <c r="D33">
        <f>D31/C7</f>
        <v>9.6029999999999998</v>
      </c>
      <c r="E33">
        <f>E31/C7</f>
        <v>9.3208499999999983</v>
      </c>
      <c r="F33">
        <f>F31/C7</f>
        <v>9.0528075000000001</v>
      </c>
      <c r="G33">
        <f>G31/C7</f>
        <v>8.7981671249999973</v>
      </c>
      <c r="H33">
        <f>H31/C7</f>
        <v>8.5562587687499985</v>
      </c>
    </row>
    <row r="35" spans="2:8" ht="15" customHeight="1" x14ac:dyDescent="0.2">
      <c r="B35" s="134" t="s">
        <v>388</v>
      </c>
    </row>
    <row r="36" spans="2:8" ht="15" customHeight="1" x14ac:dyDescent="0.2">
      <c r="D36" s="135" t="s">
        <v>295</v>
      </c>
      <c r="E36" s="135" t="s">
        <v>296</v>
      </c>
      <c r="F36" s="135" t="s">
        <v>297</v>
      </c>
      <c r="G36" s="135" t="s">
        <v>382</v>
      </c>
      <c r="H36" s="135" t="s">
        <v>383</v>
      </c>
    </row>
    <row r="37" spans="2:8" ht="15" customHeight="1" x14ac:dyDescent="0.2">
      <c r="B37" t="s">
        <v>54</v>
      </c>
      <c r="D37" s="136">
        <f>Projections!C21</f>
        <v>394.24</v>
      </c>
      <c r="E37" s="136">
        <f>Projections!D21</f>
        <v>437.39519999999999</v>
      </c>
      <c r="F37" s="136">
        <f>Projections!E21</f>
        <v>480.67430400000001</v>
      </c>
      <c r="G37" s="136">
        <f>Projections!F21</f>
        <v>523.18911744000002</v>
      </c>
      <c r="H37" s="136">
        <f>Projections!G21</f>
        <v>563.98013337600003</v>
      </c>
    </row>
    <row r="38" spans="2:8" ht="15" customHeight="1" x14ac:dyDescent="0.2">
      <c r="B38" t="s">
        <v>389</v>
      </c>
      <c r="D38">
        <f>-Projections!C23</f>
        <v>-88.704000000000008</v>
      </c>
      <c r="E38">
        <f>-Projections!D23</f>
        <v>-95.152640000000005</v>
      </c>
      <c r="F38">
        <f>-Projections!E23</f>
        <v>-101.10735360000001</v>
      </c>
      <c r="G38">
        <f>-Projections!F23</f>
        <v>-106.41134592</v>
      </c>
      <c r="H38">
        <f>-Projections!G23</f>
        <v>-112.79602667520001</v>
      </c>
    </row>
    <row r="39" spans="2:8" ht="15" customHeight="1" x14ac:dyDescent="0.2">
      <c r="B39" t="s">
        <v>59</v>
      </c>
      <c r="D39">
        <f>D37+D38</f>
        <v>305.536</v>
      </c>
      <c r="E39">
        <f>E37+E38</f>
        <v>342.24255999999997</v>
      </c>
      <c r="F39">
        <f>F37+F38</f>
        <v>379.5669504</v>
      </c>
      <c r="G39">
        <f>G37+G38</f>
        <v>416.77777151999999</v>
      </c>
      <c r="H39">
        <f>H37+H38</f>
        <v>451.18410670080004</v>
      </c>
    </row>
    <row r="40" spans="2:8" ht="15" customHeight="1" x14ac:dyDescent="0.2">
      <c r="B40" t="s">
        <v>390</v>
      </c>
      <c r="D40">
        <f>-D32</f>
        <v>-263.75580000000002</v>
      </c>
      <c r="E40">
        <f>-E32</f>
        <v>-257.07626999999997</v>
      </c>
      <c r="F40">
        <f>-F32</f>
        <v>-250.73071649999997</v>
      </c>
      <c r="G40">
        <f>-G32</f>
        <v>-244.70244067499996</v>
      </c>
      <c r="H40">
        <f>-H32</f>
        <v>-238.97557864124997</v>
      </c>
    </row>
    <row r="41" spans="2:8" ht="15" customHeight="1" x14ac:dyDescent="0.2">
      <c r="B41" t="s">
        <v>391</v>
      </c>
      <c r="D41">
        <f>-$C$8*$C$25</f>
        <v>-124.56</v>
      </c>
      <c r="E41">
        <f>-$C$8*$C$25</f>
        <v>-124.56</v>
      </c>
      <c r="F41">
        <f>-$C$8*$C$25</f>
        <v>-124.56</v>
      </c>
      <c r="G41">
        <f>-$C$8*$C$25</f>
        <v>-124.56</v>
      </c>
      <c r="H41">
        <f>-$C$8*$C$25</f>
        <v>-124.56</v>
      </c>
    </row>
    <row r="42" spans="2:8" ht="15" customHeight="1" x14ac:dyDescent="0.2">
      <c r="B42" t="s">
        <v>64</v>
      </c>
      <c r="D42">
        <f>SUM(D39:D41)</f>
        <v>-82.779800000000023</v>
      </c>
      <c r="E42">
        <f>SUM(E39:E41)</f>
        <v>-39.393709999999999</v>
      </c>
      <c r="F42">
        <f>SUM(F39:F41)</f>
        <v>4.2762339000000225</v>
      </c>
      <c r="G42">
        <f>SUM(G39:G41)</f>
        <v>47.515330845000022</v>
      </c>
      <c r="H42">
        <f>SUM(H39:H41)</f>
        <v>87.648528059550074</v>
      </c>
    </row>
    <row r="43" spans="2:8" ht="15" customHeight="1" x14ac:dyDescent="0.2">
      <c r="B43" t="s">
        <v>66</v>
      </c>
      <c r="D43">
        <f>IF(D42&gt;0,-D42*$C$24,0)</f>
        <v>0</v>
      </c>
      <c r="E43">
        <f>IF(E42&gt;0,-E42*$C$24,0)</f>
        <v>0</v>
      </c>
      <c r="F43">
        <f>IF(F42&gt;0,-F42*$C$24,0)</f>
        <v>-1.1118208140000059</v>
      </c>
      <c r="G43">
        <f>IF(G42&gt;0,-G42*$C$24,0)</f>
        <v>-12.353986019700006</v>
      </c>
      <c r="H43">
        <f>IF(H42&gt;0,-H42*$C$24,0)</f>
        <v>-22.788617295483022</v>
      </c>
    </row>
    <row r="44" spans="2:8" ht="15" customHeight="1" x14ac:dyDescent="0.2">
      <c r="B44" t="s">
        <v>68</v>
      </c>
      <c r="D44">
        <f>D42+D43</f>
        <v>-82.779800000000023</v>
      </c>
      <c r="E44">
        <f>E42+E43</f>
        <v>-39.393709999999999</v>
      </c>
      <c r="F44">
        <f>F42+F43</f>
        <v>3.1644130860000166</v>
      </c>
      <c r="G44">
        <f>G42+G43</f>
        <v>35.16134482530002</v>
      </c>
      <c r="H44">
        <f>H42+H43</f>
        <v>64.859910764067052</v>
      </c>
    </row>
    <row r="45" spans="2:8" ht="15" customHeight="1" x14ac:dyDescent="0.2">
      <c r="B45" t="s">
        <v>122</v>
      </c>
      <c r="D45">
        <f>-D38</f>
        <v>88.704000000000008</v>
      </c>
      <c r="E45">
        <f>-E38</f>
        <v>95.152640000000005</v>
      </c>
      <c r="F45">
        <f>-F38</f>
        <v>101.10735360000001</v>
      </c>
      <c r="G45">
        <f>-G38</f>
        <v>106.41134592</v>
      </c>
      <c r="H45">
        <f>-H38</f>
        <v>112.79602667520001</v>
      </c>
    </row>
    <row r="46" spans="2:8" ht="15" customHeight="1" x14ac:dyDescent="0.2">
      <c r="B46" t="s">
        <v>123</v>
      </c>
      <c r="D46">
        <f>-Projections!C37</f>
        <v>-98.56</v>
      </c>
      <c r="E46">
        <f>-Projections!D37</f>
        <v>-107.43040000000001</v>
      </c>
      <c r="F46">
        <f>-Projections!E37</f>
        <v>-107.73734400000001</v>
      </c>
      <c r="G46">
        <f>-Projections!F37</f>
        <v>-115.27895808000002</v>
      </c>
      <c r="H46">
        <f>-Projections!G37</f>
        <v>-112.79602667520001</v>
      </c>
    </row>
    <row r="47" spans="2:8" ht="15" customHeight="1" x14ac:dyDescent="0.2">
      <c r="B47" t="s">
        <v>124</v>
      </c>
      <c r="D47">
        <f>-Projections!C38</f>
        <v>-6.4</v>
      </c>
      <c r="E47">
        <f>-Projections!D38</f>
        <v>-6.3360000000000021</v>
      </c>
      <c r="F47">
        <f>-Projections!E38</f>
        <v>-6.1388800000000066</v>
      </c>
      <c r="G47">
        <f>-Projections!F38</f>
        <v>-5.8012416000000036</v>
      </c>
      <c r="H47">
        <f>-Projections!G38</f>
        <v>-5.3205672960000019</v>
      </c>
    </row>
    <row r="48" spans="2:8" ht="15" customHeight="1" x14ac:dyDescent="0.2">
      <c r="B48" t="s">
        <v>392</v>
      </c>
      <c r="D48">
        <f>-(C29-D29)</f>
        <v>-102.76200000000017</v>
      </c>
      <c r="E48">
        <f>-(D29-E29)</f>
        <v>-97.623900000000049</v>
      </c>
      <c r="F48">
        <f>-(E29-F29)</f>
        <v>-92.742705000000115</v>
      </c>
      <c r="G48">
        <f>-(F29-G29)</f>
        <v>-88.105569750000086</v>
      </c>
      <c r="H48">
        <f>-(G29-H29)</f>
        <v>-83.700291262500059</v>
      </c>
    </row>
    <row r="49" spans="2:8" ht="15" customHeight="1" x14ac:dyDescent="0.2">
      <c r="B49" t="s">
        <v>393</v>
      </c>
      <c r="D49">
        <f>SUM(D44:D48)</f>
        <v>-201.79780000000019</v>
      </c>
      <c r="E49">
        <f>SUM(E44:E48)</f>
        <v>-155.63137000000006</v>
      </c>
      <c r="F49">
        <f>SUM(F44:F48)</f>
        <v>-102.34716231400012</v>
      </c>
      <c r="G49">
        <f>SUM(G44:G48)</f>
        <v>-67.613078684700099</v>
      </c>
      <c r="H49">
        <f>SUM(H44:H48)</f>
        <v>-24.160947794433007</v>
      </c>
    </row>
    <row r="50" spans="2:8" ht="15" customHeight="1" x14ac:dyDescent="0.2">
      <c r="B50" t="s">
        <v>394</v>
      </c>
      <c r="D50">
        <f>D49</f>
        <v>-201.79780000000019</v>
      </c>
      <c r="E50">
        <f>D50+E49</f>
        <v>-357.42917000000023</v>
      </c>
      <c r="F50">
        <f>E50+F49</f>
        <v>-459.77633231400034</v>
      </c>
      <c r="G50">
        <f>F50+G49</f>
        <v>-527.38941099870044</v>
      </c>
      <c r="H50">
        <f>G50+H49</f>
        <v>-551.55035879313346</v>
      </c>
    </row>
    <row r="52" spans="2:8" ht="15" customHeight="1" x14ac:dyDescent="0.2">
      <c r="B52" s="134" t="s">
        <v>395</v>
      </c>
    </row>
    <row r="53" spans="2:8" ht="15" customHeight="1" x14ac:dyDescent="0.2">
      <c r="B53" t="s">
        <v>396</v>
      </c>
      <c r="C53" s="136">
        <f>H37</f>
        <v>563.98013337600003</v>
      </c>
    </row>
    <row r="54" spans="2:8" ht="15" customHeight="1" x14ac:dyDescent="0.2">
      <c r="B54" t="s">
        <v>375</v>
      </c>
      <c r="C54">
        <f>C23</f>
        <v>18</v>
      </c>
    </row>
    <row r="55" spans="2:8" ht="15" customHeight="1" x14ac:dyDescent="0.2">
      <c r="B55" t="s">
        <v>397</v>
      </c>
      <c r="C55">
        <f>C53*C54</f>
        <v>10151.642400768</v>
      </c>
    </row>
    <row r="56" spans="2:8" ht="15" customHeight="1" x14ac:dyDescent="0.2">
      <c r="B56" t="s">
        <v>398</v>
      </c>
      <c r="C56">
        <f>-H31</f>
        <v>-2960.4655339874994</v>
      </c>
    </row>
    <row r="57" spans="2:8" ht="15" customHeight="1" x14ac:dyDescent="0.2">
      <c r="B57" t="s">
        <v>399</v>
      </c>
      <c r="C57">
        <f>C55+C56</f>
        <v>7191.1768667805009</v>
      </c>
    </row>
    <row r="58" spans="2:8" ht="15" customHeight="1" x14ac:dyDescent="0.2">
      <c r="B58" t="s">
        <v>400</v>
      </c>
      <c r="C58">
        <f>C14</f>
        <v>2802.6</v>
      </c>
    </row>
    <row r="59" spans="2:8" ht="15" customHeight="1" x14ac:dyDescent="0.2">
      <c r="B59" t="s">
        <v>401</v>
      </c>
      <c r="C59">
        <f>C57/C58</f>
        <v>2.5658948357883755</v>
      </c>
    </row>
    <row r="60" spans="2:8" ht="15" customHeight="1" x14ac:dyDescent="0.2">
      <c r="B60" t="s">
        <v>402</v>
      </c>
      <c r="C60">
        <f>(C57/C58)^(1/C22)-1</f>
        <v>0.20739054482436892</v>
      </c>
    </row>
    <row r="61" spans="2:8" ht="15" customHeight="1" x14ac:dyDescent="0.2">
      <c r="B61" t="s">
        <v>403</v>
      </c>
      <c r="C61">
        <f>C8/'Deal Overview'!$C$13</f>
        <v>91.588235294117652</v>
      </c>
    </row>
    <row r="62" spans="2:8" ht="15" customHeight="1" x14ac:dyDescent="0.2">
      <c r="B62" t="s">
        <v>404</v>
      </c>
      <c r="C62">
        <f>C10/'Deal Overview'!$C$13</f>
        <v>90.92647058823529</v>
      </c>
    </row>
    <row r="64" spans="2:8" ht="15" customHeight="1" x14ac:dyDescent="0.2">
      <c r="B64" s="134" t="s">
        <v>405</v>
      </c>
    </row>
    <row r="65" spans="1:7" ht="15" customHeight="1" x14ac:dyDescent="0.2">
      <c r="B65" s="135" t="s">
        <v>406</v>
      </c>
      <c r="C65" s="135">
        <v>14</v>
      </c>
      <c r="D65" s="135">
        <v>16</v>
      </c>
      <c r="E65" s="135">
        <v>18</v>
      </c>
      <c r="F65" s="135">
        <v>20</v>
      </c>
      <c r="G65" s="135">
        <v>22</v>
      </c>
    </row>
    <row r="66" spans="1:7" ht="15" customHeight="1" x14ac:dyDescent="0.2">
      <c r="B66" s="135">
        <v>14</v>
      </c>
      <c r="C66">
        <f>(H37*14/(C7*14*(1-$C$12)))^(1/$C$22)-1</f>
        <v>0.29358520159125789</v>
      </c>
      <c r="D66">
        <f>(H37*16/(C7*14*(1-$C$12)))^(1/$C$22)-1</f>
        <v>0.32859749131502336</v>
      </c>
      <c r="E66">
        <f>(H37*18/(C7*14*(1-$C$12)))^(1/$C$22)-1</f>
        <v>0.36026628062729271</v>
      </c>
      <c r="F66">
        <f>(H37*20/(C7*14*(1-$C$12)))^(1/$C$22)-1</f>
        <v>0.38923408639252921</v>
      </c>
      <c r="G66">
        <f>(H37*22/(C7*14*(1-$C$12)))^(1/$C$22)-1</f>
        <v>0.41596972480287486</v>
      </c>
    </row>
    <row r="67" spans="1:7" ht="15" customHeight="1" x14ac:dyDescent="0.2">
      <c r="B67" s="135">
        <v>16</v>
      </c>
      <c r="C67">
        <f>(H37*14/(C7*16*(1-$C$12)))^(1/$C$22)-1</f>
        <v>0.25949558441483211</v>
      </c>
      <c r="D67">
        <f>(H37*16/(C7*16*(1-$C$12)))^(1/$C$22)-1</f>
        <v>0.29358520159125789</v>
      </c>
      <c r="E67">
        <f>(H37*18/(C7*16*(1-$C$12)))^(1/$C$22)-1</f>
        <v>0.32441942901864462</v>
      </c>
      <c r="F67">
        <f>(H37*20/(C7*16*(1-$C$12)))^(1/$C$22)-1</f>
        <v>0.35262385143057484</v>
      </c>
      <c r="G67">
        <f>(H37*22/(C7*16*(1-$C$12)))^(1/$C$22)-1</f>
        <v>0.37865493039075471</v>
      </c>
    </row>
    <row r="68" spans="1:7" ht="15" customHeight="1" x14ac:dyDescent="0.2">
      <c r="B68" s="135">
        <v>18</v>
      </c>
      <c r="C68">
        <f>(H37*14/(C7*18*(1-$C$12)))^(1/$C$22)-1</f>
        <v>0.23017286953861493</v>
      </c>
      <c r="D68">
        <f>(H37*16/(C7*18*(1-$C$12)))^(1/$C$22)-1</f>
        <v>0.2634688355605046</v>
      </c>
      <c r="E68">
        <f>(H37*18/(C7*18*(1-$C$12)))^(1/$C$22)-1</f>
        <v>0.29358520159125789</v>
      </c>
      <c r="F68">
        <f>(H37*20/(C7*18*(1-$C$12)))^(1/$C$22)-1</f>
        <v>0.32113298792850298</v>
      </c>
      <c r="G68">
        <f>(H37*22/(C7*18*(1-$C$12)))^(1/$C$22)-1</f>
        <v>0.34655802910997613</v>
      </c>
    </row>
    <row r="69" spans="1:7" ht="15" customHeight="1" x14ac:dyDescent="0.2">
      <c r="B69" s="135">
        <v>20</v>
      </c>
      <c r="C69">
        <f>(H37*14/(C7*20*(1-$C$12)))^(1/$C$22)-1</f>
        <v>0.2045217506296384</v>
      </c>
      <c r="D69">
        <f>(H37*16/(C7*20*(1-$C$12)))^(1/$C$22)-1</f>
        <v>0.2371234412331984</v>
      </c>
      <c r="E69">
        <f>(H37*18/(C7*20*(1-$C$12)))^(1/$C$22)-1</f>
        <v>0.26661183171247416</v>
      </c>
      <c r="F69">
        <f>(H37*20/(C7*20*(1-$C$12)))^(1/$C$22)-1</f>
        <v>0.29358520159125789</v>
      </c>
      <c r="G69">
        <f>(H37*22/(C7*20*(1-$C$12)))^(1/$C$22)-1</f>
        <v>0.3184800890270576</v>
      </c>
    </row>
    <row r="70" spans="1:7" ht="15" customHeight="1" x14ac:dyDescent="0.2">
      <c r="B70" s="135">
        <v>22</v>
      </c>
      <c r="C70">
        <f>(H37*14/(C7*22*(1-$C$12)))^(1/$C$22)-1</f>
        <v>0.18177856804731718</v>
      </c>
      <c r="D70">
        <f>(H37*16/(C7*22*(1-$C$12)))^(1/$C$22)-1</f>
        <v>0.21376468969041529</v>
      </c>
      <c r="E70">
        <f>(H37*18/(C7*22*(1-$C$12)))^(1/$C$22)-1</f>
        <v>0.24269629499883094</v>
      </c>
      <c r="F70">
        <f>(H37*20/(C7*22*(1-$C$12)))^(1/$C$22)-1</f>
        <v>0.26916036707897129</v>
      </c>
      <c r="G70">
        <f>(H37*22/(C7*22*(1-$C$12)))^(1/$C$22)-1</f>
        <v>0.29358520159125789</v>
      </c>
    </row>
    <row r="73" spans="1:7" ht="15" customHeight="1" x14ac:dyDescent="0.2">
      <c r="A73" s="137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2:G40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5" width="14" customWidth="1"/>
    <col min="6" max="6" width="5" customWidth="1"/>
    <col min="7" max="7" width="28" customWidth="1"/>
  </cols>
  <sheetData>
    <row r="2" spans="2:7" ht="24" customHeight="1" x14ac:dyDescent="0.2">
      <c r="B2" s="9" t="s">
        <v>407</v>
      </c>
      <c r="C2" s="9"/>
      <c r="D2" s="9"/>
      <c r="E2" s="9"/>
      <c r="F2" s="9"/>
      <c r="G2" s="9"/>
    </row>
    <row r="3" spans="2:7" ht="21.75" customHeight="1" x14ac:dyDescent="0.2">
      <c r="B3" s="11" t="s">
        <v>408</v>
      </c>
    </row>
    <row r="5" spans="2:7" ht="19.5" customHeight="1" x14ac:dyDescent="0.2">
      <c r="B5" s="28" t="s">
        <v>409</v>
      </c>
      <c r="C5" s="28" t="s">
        <v>410</v>
      </c>
      <c r="D5" s="28" t="s">
        <v>411</v>
      </c>
      <c r="E5" s="28" t="s">
        <v>412</v>
      </c>
    </row>
    <row r="6" spans="2:7" ht="15" customHeight="1" x14ac:dyDescent="0.2">
      <c r="B6" s="29" t="s">
        <v>413</v>
      </c>
      <c r="C6" s="138">
        <v>82</v>
      </c>
      <c r="D6" s="139">
        <v>98</v>
      </c>
      <c r="E6" s="138">
        <v>118</v>
      </c>
      <c r="G6" s="140" t="s">
        <v>414</v>
      </c>
    </row>
    <row r="7" spans="2:7" ht="15" customHeight="1" x14ac:dyDescent="0.2">
      <c r="B7" s="32" t="s">
        <v>415</v>
      </c>
      <c r="C7" s="141">
        <f>'DCF Valuation'!C45*0.92</f>
        <v>63.994876763299885</v>
      </c>
      <c r="D7" s="102">
        <f>'DCF Valuation'!C45</f>
        <v>69.559648655760739</v>
      </c>
      <c r="E7" s="141">
        <f>'DCF Valuation'!C45*1.1</f>
        <v>76.515613521336817</v>
      </c>
      <c r="G7" s="18" t="s">
        <v>416</v>
      </c>
    </row>
    <row r="8" spans="2:7" ht="15" customHeight="1" x14ac:dyDescent="0.2">
      <c r="B8" s="29" t="s">
        <v>417</v>
      </c>
      <c r="C8" s="142">
        <f>'DCF Valuation'!D45*0.87</f>
        <v>99.390260896251519</v>
      </c>
      <c r="D8" s="139">
        <f>'DCF Valuation'!D45</f>
        <v>114.2416791910937</v>
      </c>
      <c r="E8" s="142">
        <f>'DCF Valuation'!D45*1.17</f>
        <v>133.66276465357961</v>
      </c>
      <c r="G8" s="140" t="s">
        <v>416</v>
      </c>
    </row>
    <row r="9" spans="2:7" ht="15" customHeight="1" x14ac:dyDescent="0.2">
      <c r="B9" s="32" t="s">
        <v>418</v>
      </c>
      <c r="C9" s="141">
        <f>'Trading Comps'!D22*0.83</f>
        <v>65.3068106617647</v>
      </c>
      <c r="D9" s="102">
        <f>'Trading Comps'!D22</f>
        <v>78.682904411764696</v>
      </c>
      <c r="E9" s="141">
        <f>'Trading Comps'!D22*1.3</f>
        <v>102.2877757352941</v>
      </c>
      <c r="G9" s="18" t="s">
        <v>419</v>
      </c>
    </row>
    <row r="10" spans="2:7" ht="15" customHeight="1" x14ac:dyDescent="0.2">
      <c r="B10" s="29" t="s">
        <v>420</v>
      </c>
      <c r="C10" s="142">
        <f>'Precedent Transactions'!E18*0.58</f>
        <v>23.634999999999998</v>
      </c>
      <c r="D10" s="139">
        <f>'Precedent Transactions'!E18</f>
        <v>40.75</v>
      </c>
      <c r="E10" s="142">
        <f>'Precedent Transactions'!E19</f>
        <v>70.57352941176471</v>
      </c>
      <c r="G10" s="140" t="s">
        <v>421</v>
      </c>
    </row>
    <row r="11" spans="2:7" ht="15" customHeight="1" x14ac:dyDescent="0.2">
      <c r="B11" t="s">
        <v>422</v>
      </c>
      <c r="C11">
        <f>'LBO Analysis'!C62*0.85</f>
        <v>77.287499999999994</v>
      </c>
      <c r="D11">
        <f>'LBO Analysis'!C62</f>
        <v>90.92647058823529</v>
      </c>
      <c r="E11">
        <f>'LBO Analysis'!C61</f>
        <v>91.588235294117652</v>
      </c>
      <c r="G11" s="63" t="s">
        <v>423</v>
      </c>
    </row>
    <row r="12" spans="2:7" ht="15" customHeight="1" x14ac:dyDescent="0.2">
      <c r="B12" s="27"/>
    </row>
    <row r="13" spans="2:7" ht="15" customHeight="1" x14ac:dyDescent="0.2">
      <c r="B13" s="35" t="s">
        <v>424</v>
      </c>
      <c r="C13" s="131"/>
      <c r="D13" s="83">
        <f>'Deal Overview'!C10</f>
        <v>125</v>
      </c>
      <c r="E13" s="131"/>
      <c r="G13" s="143">
        <f>'Deal Overview'!C12</f>
        <v>0.27551020408163263</v>
      </c>
    </row>
    <row r="14" spans="2:7" ht="19.5" customHeight="1" x14ac:dyDescent="0.2">
      <c r="B14" s="3"/>
      <c r="C14" s="3"/>
      <c r="D14" s="3"/>
      <c r="E14" s="3"/>
      <c r="F14" s="3"/>
      <c r="G14" s="3"/>
    </row>
    <row r="15" spans="2:7" ht="15" customHeight="1" x14ac:dyDescent="0.2">
      <c r="B15" s="12" t="s">
        <v>425</v>
      </c>
      <c r="C15" s="64"/>
      <c r="D15" s="64"/>
      <c r="E15" s="64"/>
      <c r="F15" s="64"/>
      <c r="G15" s="64"/>
    </row>
    <row r="16" spans="2:7" ht="15" customHeight="1" x14ac:dyDescent="0.2">
      <c r="B16" s="15" t="s">
        <v>426</v>
      </c>
      <c r="C16" s="102">
        <f>'Deal Overview'!C10</f>
        <v>125</v>
      </c>
    </row>
    <row r="17" spans="1:7" ht="15" customHeight="1" x14ac:dyDescent="0.2">
      <c r="B17" s="49" t="s">
        <v>13</v>
      </c>
      <c r="C17" s="144">
        <f>'Deal Overview'!C12</f>
        <v>0.27551020408163263</v>
      </c>
    </row>
    <row r="18" spans="1:7" ht="15" customHeight="1" x14ac:dyDescent="0.2">
      <c r="B18" s="15" t="s">
        <v>427</v>
      </c>
      <c r="C18" s="25">
        <f>'Deal Overview'!C17</f>
        <v>24.696531791907514</v>
      </c>
    </row>
    <row r="19" spans="1:7" ht="18" customHeight="1" x14ac:dyDescent="0.2">
      <c r="B19" s="49" t="s">
        <v>428</v>
      </c>
      <c r="C19" s="94">
        <f>'Deal Overview'!C18</f>
        <v>6.67578125</v>
      </c>
    </row>
    <row r="20" spans="1:7" ht="18" customHeight="1" x14ac:dyDescent="0.2">
      <c r="B20" s="15" t="s">
        <v>429</v>
      </c>
      <c r="C20" s="20">
        <f>'Accretion - Dilution'!D30</f>
        <v>-0.11614102873125715</v>
      </c>
    </row>
    <row r="21" spans="1:7" ht="15" customHeight="1" x14ac:dyDescent="0.2">
      <c r="B21" s="49" t="s">
        <v>430</v>
      </c>
      <c r="C21" s="144">
        <f>'Accretion - Dilution'!F30</f>
        <v>9.2961725461284761E-4</v>
      </c>
    </row>
    <row r="22" spans="1:7" ht="15" customHeight="1" x14ac:dyDescent="0.2">
      <c r="B22" s="15" t="s">
        <v>431</v>
      </c>
      <c r="C22" s="102">
        <f>'Synergy Analysis'!C37</f>
        <v>13.486300631249511</v>
      </c>
    </row>
    <row r="23" spans="1:7" ht="15" customHeight="1" x14ac:dyDescent="0.2">
      <c r="B23" s="49" t="s">
        <v>266</v>
      </c>
      <c r="C23" s="94">
        <f>'Sources &amp; Uses'!C21</f>
        <v>2.6000825423029301</v>
      </c>
    </row>
    <row r="24" spans="1:7" ht="19.5" customHeight="1" x14ac:dyDescent="0.2">
      <c r="B24" s="3"/>
      <c r="C24" s="3"/>
      <c r="D24" s="3"/>
      <c r="E24" s="3"/>
      <c r="F24" s="3"/>
      <c r="G24" s="3"/>
    </row>
    <row r="25" spans="1:7" ht="18" customHeight="1" x14ac:dyDescent="0.2">
      <c r="B25" s="1" t="s">
        <v>432</v>
      </c>
      <c r="C25" s="1"/>
      <c r="D25" s="1"/>
      <c r="E25" s="1"/>
      <c r="F25" s="1"/>
      <c r="G25" s="1"/>
    </row>
    <row r="26" spans="1:7" ht="15" customHeight="1" x14ac:dyDescent="0.2">
      <c r="B26" s="1"/>
      <c r="C26" s="1"/>
      <c r="D26" s="1"/>
      <c r="E26" s="1"/>
      <c r="F26" s="1"/>
      <c r="G26" s="1"/>
    </row>
    <row r="27" spans="1:7" ht="15" customHeight="1" x14ac:dyDescent="0.2">
      <c r="B27" s="1"/>
      <c r="C27" s="1"/>
      <c r="D27" s="1"/>
      <c r="E27" s="1"/>
      <c r="F27" s="1"/>
      <c r="G27" s="1"/>
    </row>
    <row r="28" spans="1:7" ht="15" customHeight="1" x14ac:dyDescent="0.2">
      <c r="B28" s="1"/>
      <c r="C28" s="1"/>
      <c r="D28" s="1"/>
      <c r="E28" s="1"/>
      <c r="F28" s="1"/>
      <c r="G28" s="1"/>
    </row>
    <row r="30" spans="1:7" ht="15" customHeight="1" x14ac:dyDescent="0.2">
      <c r="A30" s="3"/>
      <c r="B30" s="3"/>
      <c r="C30" s="3"/>
      <c r="D30" s="3"/>
      <c r="E30" s="3"/>
      <c r="F30" s="3"/>
      <c r="G30" s="3"/>
    </row>
    <row r="31" spans="1:7" ht="360" customHeight="1" x14ac:dyDescent="0.2">
      <c r="A31" s="38" t="s">
        <v>35</v>
      </c>
    </row>
    <row r="33" spans="2:4" ht="15" customHeight="1" x14ac:dyDescent="0.2"/>
    <row r="34" spans="2:4" ht="15" customHeight="1" x14ac:dyDescent="0.2">
      <c r="B34" s="145" t="s">
        <v>433</v>
      </c>
      <c r="C34" s="146"/>
      <c r="D34" s="146"/>
    </row>
    <row r="35" spans="2:4" ht="15" customHeight="1" x14ac:dyDescent="0.2">
      <c r="B35" s="145" t="s">
        <v>434</v>
      </c>
      <c r="C35" s="146" t="s">
        <v>410</v>
      </c>
      <c r="D35" s="146" t="s">
        <v>435</v>
      </c>
    </row>
    <row r="36" spans="2:4" ht="15" customHeight="1" x14ac:dyDescent="0.2">
      <c r="B36" s="145" t="s">
        <v>436</v>
      </c>
      <c r="C36" s="147">
        <f>C6</f>
        <v>82</v>
      </c>
      <c r="D36" s="146">
        <f>E6-C6</f>
        <v>36</v>
      </c>
    </row>
    <row r="37" spans="2:4" ht="15" customHeight="1" x14ac:dyDescent="0.2">
      <c r="B37" s="145" t="s">
        <v>437</v>
      </c>
      <c r="C37" s="147">
        <f>C7</f>
        <v>63.994876763299885</v>
      </c>
      <c r="D37" s="146">
        <f>E7-C7</f>
        <v>12.520736758036932</v>
      </c>
    </row>
    <row r="38" spans="2:4" ht="15" customHeight="1" x14ac:dyDescent="0.2">
      <c r="B38" s="145" t="s">
        <v>438</v>
      </c>
      <c r="C38" s="147">
        <f>C8</f>
        <v>99.390260896251519</v>
      </c>
      <c r="D38" s="146">
        <f>E8-C8</f>
        <v>34.272503757328096</v>
      </c>
    </row>
    <row r="39" spans="2:4" ht="15" customHeight="1" x14ac:dyDescent="0.2">
      <c r="B39" s="145" t="s">
        <v>439</v>
      </c>
      <c r="C39" s="147">
        <f>C9</f>
        <v>65.3068106617647</v>
      </c>
      <c r="D39" s="146">
        <f>E9-C9</f>
        <v>36.980965073529404</v>
      </c>
    </row>
    <row r="40" spans="2:4" ht="15" customHeight="1" x14ac:dyDescent="0.2">
      <c r="B40" s="145" t="s">
        <v>440</v>
      </c>
      <c r="C40" s="147">
        <f>C10</f>
        <v>23.634999999999998</v>
      </c>
      <c r="D40" s="146">
        <f>E10-C10</f>
        <v>46.938529411764712</v>
      </c>
    </row>
  </sheetData>
  <mergeCells count="5">
    <mergeCell ref="B2:G2"/>
    <mergeCell ref="B14:G14"/>
    <mergeCell ref="B24:G24"/>
    <mergeCell ref="B25:G28"/>
    <mergeCell ref="A30:G3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Deal Overview</vt:lpstr>
      <vt:lpstr>Cucinelli Financials</vt:lpstr>
      <vt:lpstr>Projections</vt:lpstr>
      <vt:lpstr>DCF Valuation</vt:lpstr>
      <vt:lpstr>Trading Comps</vt:lpstr>
      <vt:lpstr>Precedent Transactions</vt:lpstr>
      <vt:lpstr>Sources &amp; Uses</vt:lpstr>
      <vt:lpstr>Synergy Analysis</vt:lpstr>
      <vt:lpstr>Accretion - Dilution</vt:lpstr>
      <vt:lpstr>LBO Analysis</vt:lpstr>
      <vt:lpstr>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De Salvo</cp:lastModifiedBy>
  <cp:revision>6</cp:revision>
  <dcterms:created xsi:type="dcterms:W3CDTF">2026-06-13T10:44:29Z</dcterms:created>
  <dcterms:modified xsi:type="dcterms:W3CDTF">2026-06-15T10:29:01Z</dcterms:modified>
  <dc:language>en-US</dc:language>
</cp:coreProperties>
</file>